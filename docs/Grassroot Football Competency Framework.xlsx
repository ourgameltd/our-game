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PlayerAttributes" sheetId="2" r:id="rId6"/>
    <sheet state="visible" name="Attributes" sheetId="3" r:id="rId7"/>
    <sheet state="visible" name="Scoring" sheetId="4" r:id="rId8"/>
    <sheet state="visible" name="Weightings" sheetId="5" r:id="rId9"/>
  </sheets>
  <definedNames/>
  <calcPr/>
</workbook>
</file>

<file path=xl/sharedStrings.xml><?xml version="1.0" encoding="utf-8"?>
<sst xmlns="http://schemas.openxmlformats.org/spreadsheetml/2006/main" count="495" uniqueCount="126">
  <si>
    <t>Player</t>
  </si>
  <si>
    <t>Control &amp; Receiving</t>
  </si>
  <si>
    <t>Passing &amp; Distribution</t>
  </si>
  <si>
    <t>Dribbling &amp; Manipulation</t>
  </si>
  <si>
    <t>Striking &amp; Finishing</t>
  </si>
  <si>
    <t>Defending &amp; Tackling</t>
  </si>
  <si>
    <t>Game Intelligence</t>
  </si>
  <si>
    <t>Speed &amp; Acceleration</t>
  </si>
  <si>
    <t>Physical Literacy</t>
  </si>
  <si>
    <t>Mental &amp; Psycho-Social</t>
  </si>
  <si>
    <t>Score</t>
  </si>
  <si>
    <t>Score + 10%</t>
  </si>
  <si>
    <t>Overall</t>
  </si>
  <si>
    <t>Alan</t>
  </si>
  <si>
    <t>Elite</t>
  </si>
  <si>
    <t>Advanced</t>
  </si>
  <si>
    <t>Leon</t>
  </si>
  <si>
    <t>Intermediate</t>
  </si>
  <si>
    <t>Development</t>
  </si>
  <si>
    <t>Jonny</t>
  </si>
  <si>
    <t>Cooper</t>
  </si>
  <si>
    <t>Michael</t>
  </si>
  <si>
    <t>Bryan</t>
  </si>
  <si>
    <t>Cairan</t>
  </si>
  <si>
    <t>James</t>
  </si>
  <si>
    <t>Jayden</t>
  </si>
  <si>
    <t>Fin</t>
  </si>
  <si>
    <t>Laszlo</t>
  </si>
  <si>
    <t>Mark F (GK)</t>
  </si>
  <si>
    <t>Leo</t>
  </si>
  <si>
    <t>Lyle</t>
  </si>
  <si>
    <t>Mark M</t>
  </si>
  <si>
    <t>Kian</t>
  </si>
  <si>
    <t>Jay</t>
  </si>
  <si>
    <t>Cayden</t>
  </si>
  <si>
    <t>Game Type:</t>
  </si>
  <si>
    <t>11s</t>
  </si>
  <si>
    <t>Competency</t>
  </si>
  <si>
    <t>Controls a rolling ball with dominant foot without losing balance.</t>
  </si>
  <si>
    <t>Controls rolling/bouncing ball with either foot under passive pressure.</t>
  </si>
  <si>
    <t>Controls aerial/driven balls using multiple surfaces under active pressure.</t>
  </si>
  <si>
    <t>Instantly kills high-velocity balls with any body part under extreme pressure.</t>
  </si>
  <si>
    <t>Passes accurately over short distances with inside of dominant foot.</t>
  </si>
  <si>
    <t>Completes short passes with both feet and also lofted passes with dominant foot.</t>
  </si>
  <si>
    <t>Consistently hits varied passes with dominant foot to moving targets and short passes with none dominant foot.</t>
  </si>
  <si>
    <t>Breaks defensive lines with single-touch passing and pinpoint long-range distribution.</t>
  </si>
  <si>
    <t>Keeps the ball within playing distance at a jogging pace.</t>
  </si>
  <si>
    <t>Changes direction/speed to bypass a static defender using basic skill moves.</t>
  </si>
  <si>
    <t>Close control at high speeds utilizing dynamic feints to beat active defenders 1v1.</t>
  </si>
  <si>
    <t>Flawless manipulation at maximum sprint speed using micro-touches in tight spaces.</t>
  </si>
  <si>
    <t>Strikes a stationary ball cleanly with the laces.</t>
  </si>
  <si>
    <t>Strikes a moving ball accurately toward the goal with the dominant foot.</t>
  </si>
  <si>
    <t>Consistently strikes with power and accuracy from various angles/distances using dominant foot and can shoot with weaker foot.</t>
  </si>
  <si>
    <t>Clinical finishing with minimal backlift and exploits minute gaps from distance under duress.</t>
  </si>
  <si>
    <t>Understands goal-side positioning and tries to recover the ball.</t>
  </si>
  <si>
    <t>Executes clean standing and sliding tackles and understands body positioning.</t>
  </si>
  <si>
    <t>Can tackle at speed and understands slowing opponent attacks down.</t>
  </si>
  <si>
    <t>Consitently organises and correct prioritises defensive responsibilities and structure press and defensive balance.</t>
  </si>
  <si>
    <t>Understands pitch boundaries and the direction of play.</t>
  </si>
  <si>
    <t>Scans occasionally before receiving and recognizes basic team shape.</t>
  </si>
  <si>
    <t>Consistently scans anticipates play to intercept and creates space off the ball.</t>
  </si>
  <si>
    <t>Operates two steps ahead of play exploits blind spots continuously and dictates match tempo.</t>
  </si>
  <si>
    <t>Demonstrates basic running mechanics with functional linear sprint speed, but lacks a quick burst off the mark.</t>
  </si>
  <si>
    <t>Shows noticeable acceleration over short distances and can outpace opponents when given a running start.</t>
  </si>
  <si>
    <t>Displays rapid acceleration from a standing start and maintains high sprint speed over distance to separate from active defenders.</t>
  </si>
  <si>
    <t>Possesses explosive first-step acceleration and elite maximum sprint speed, allowing for instant separation and rapid closing speed.</t>
  </si>
  <si>
    <t>Fundamental coordination and agility without losing balance during basic movements.</t>
  </si>
  <si>
    <t>Shields the ball using body frame and sustains energy through majority of training and game time</t>
  </si>
  <si>
    <t>Exhibits strong core stability, contests aerial duels safely, and maintains high-intensity execution late in games.</t>
  </si>
  <si>
    <t>Professional-academy biomechanics, elite functional strength for physical duels, and rapid recovery throughout the entire game.</t>
  </si>
  <si>
    <t>Engages willingly and follows basic coaching instructions</t>
  </si>
  <si>
    <t>Shows resilience after mistakes and begins verbally interacting with teammates.</t>
  </si>
  <si>
    <t>Communicates tactical info clearly and remains composed under match pressure.</t>
  </si>
  <si>
    <t>Absolute psychological resilience drives team standards and exhibits peak composure</t>
  </si>
  <si>
    <t>Ball Control</t>
  </si>
  <si>
    <t>Weak Foot</t>
  </si>
  <si>
    <t>Volleys</t>
  </si>
  <si>
    <t>Reactions</t>
  </si>
  <si>
    <t>Short Passing</t>
  </si>
  <si>
    <t>Long Passing</t>
  </si>
  <si>
    <t>Crossing</t>
  </si>
  <si>
    <t>Dribbling</t>
  </si>
  <si>
    <t>Agility</t>
  </si>
  <si>
    <t>Balance</t>
  </si>
  <si>
    <t>Pace</t>
  </si>
  <si>
    <t>Finishing</t>
  </si>
  <si>
    <t>Shot Power</t>
  </si>
  <si>
    <t>Long Shot</t>
  </si>
  <si>
    <t>Free Kick</t>
  </si>
  <si>
    <t>Penalties</t>
  </si>
  <si>
    <t>Standing Tackle</t>
  </si>
  <si>
    <t>Sliding Tackle</t>
  </si>
  <si>
    <t>Marking</t>
  </si>
  <si>
    <t>Aggression</t>
  </si>
  <si>
    <t>Awareness</t>
  </si>
  <si>
    <t>Vision</t>
  </si>
  <si>
    <t>Positioning</t>
  </si>
  <si>
    <t>Interceptions</t>
  </si>
  <si>
    <t>Attacking Position</t>
  </si>
  <si>
    <t>Defensive Positioning</t>
  </si>
  <si>
    <t>Acceleration</t>
  </si>
  <si>
    <t>Sprint Speed</t>
  </si>
  <si>
    <t>Strength</t>
  </si>
  <si>
    <t>Stamina</t>
  </si>
  <si>
    <t>Jumping</t>
  </si>
  <si>
    <t>Heading</t>
  </si>
  <si>
    <t>Communication</t>
  </si>
  <si>
    <t>Composure</t>
  </si>
  <si>
    <t>Positivity</t>
  </si>
  <si>
    <t>Total</t>
  </si>
  <si>
    <t>Attributes</t>
  </si>
  <si>
    <t>Competency Level</t>
  </si>
  <si>
    <t xml:space="preserve">Score </t>
  </si>
  <si>
    <t>% (of 70)</t>
  </si>
  <si>
    <t>Category</t>
  </si>
  <si>
    <t>Attribute</t>
  </si>
  <si>
    <t>5s</t>
  </si>
  <si>
    <t>7s</t>
  </si>
  <si>
    <t>9s</t>
  </si>
  <si>
    <t>Skills</t>
  </si>
  <si>
    <t>Physical</t>
  </si>
  <si>
    <t>Mental</t>
  </si>
  <si>
    <t>Skills Total</t>
  </si>
  <si>
    <t>Physical Total</t>
  </si>
  <si>
    <t>Mental Total</t>
  </si>
  <si>
    <t>Combined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</si>
</sst>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FFFFFF"/>
      <name val="-apple-system-font"/>
    </font>
    <font>
      <sz val="10.0"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horizontal="left" readingOrder="0"/>
    </xf>
    <xf borderId="0" fillId="3" fontId="2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4" fontId="5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88"/>
    <col customWidth="1" min="3" max="3" width="18.88"/>
    <col customWidth="1" min="4" max="4" width="20.75"/>
    <col customWidth="1" min="5" max="5" width="16.75"/>
    <col customWidth="1" min="6" max="6" width="17.88"/>
    <col customWidth="1" min="7" max="7" width="15.75"/>
    <col customWidth="1" min="8" max="8" width="18.13"/>
    <col customWidth="1" min="9" max="9" width="15.75"/>
    <col customWidth="1" min="10" max="10" width="19.75"/>
    <col customWidth="1" min="11" max="11" width="5.63"/>
    <col customWidth="1" min="12" max="12" width="10.63"/>
    <col customWidth="1" min="13" max="13" width="18.5"/>
    <col customWidth="1" min="14" max="14" width="10.13"/>
    <col customWidth="1" min="15" max="15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</row>
    <row r="2">
      <c r="A2" s="4" t="s">
        <v>13</v>
      </c>
      <c r="B2" s="4" t="s">
        <v>14</v>
      </c>
      <c r="C2" s="4" t="s">
        <v>14</v>
      </c>
      <c r="D2" s="4" t="s">
        <v>15</v>
      </c>
      <c r="E2" s="4" t="s">
        <v>15</v>
      </c>
      <c r="F2" s="4" t="s">
        <v>15</v>
      </c>
      <c r="G2" s="4" t="s">
        <v>14</v>
      </c>
      <c r="H2" s="4" t="s">
        <v>15</v>
      </c>
      <c r="I2" s="4" t="s">
        <v>15</v>
      </c>
      <c r="J2" s="4" t="s">
        <v>15</v>
      </c>
      <c r="K2" s="5">
        <f>PlayerAttributes!AK3</f>
        <v>60.1</v>
      </c>
      <c r="L2" s="5">
        <f t="shared" ref="L2:L19" si="1">K2*1.1</f>
        <v>66.11</v>
      </c>
      <c r="M2" s="6" t="str">
        <f t="array" ref="M2">XLOOKUP((K2 * 1.1), Scoring!$B$2:$B$5, Scoring!$A$2:$A$5, "Needs Improvement", -1)</f>
        <v>Advanced</v>
      </c>
      <c r="N2" s="7"/>
    </row>
    <row r="3">
      <c r="A3" s="4" t="s">
        <v>16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17</v>
      </c>
      <c r="G3" s="4" t="s">
        <v>15</v>
      </c>
      <c r="H3" s="4" t="s">
        <v>15</v>
      </c>
      <c r="I3" s="4" t="s">
        <v>15</v>
      </c>
      <c r="J3" s="4" t="s">
        <v>18</v>
      </c>
      <c r="K3" s="5">
        <f>PlayerAttributes!AK4</f>
        <v>52.82</v>
      </c>
      <c r="L3" s="5">
        <f t="shared" si="1"/>
        <v>58.102</v>
      </c>
      <c r="M3" s="6" t="str">
        <f t="array" ref="M3">XLOOKUP((K3 * 1.1), Scoring!$B$2:$B$5, Scoring!$A$2:$A$5, "Needs Improvement", -1)</f>
        <v>Advanced</v>
      </c>
    </row>
    <row r="4">
      <c r="A4" s="4" t="s">
        <v>19</v>
      </c>
      <c r="B4" s="4" t="s">
        <v>15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17</v>
      </c>
      <c r="H4" s="4" t="s">
        <v>14</v>
      </c>
      <c r="I4" s="4" t="s">
        <v>15</v>
      </c>
      <c r="J4" s="4" t="s">
        <v>15</v>
      </c>
      <c r="K4" s="5">
        <f>PlayerAttributes!AK5</f>
        <v>49.19</v>
      </c>
      <c r="L4" s="5">
        <f t="shared" si="1"/>
        <v>54.109</v>
      </c>
      <c r="M4" s="6" t="str">
        <f t="array" ref="M4">XLOOKUP((K4 * 1.1), Scoring!$B$2:$B$5, Scoring!$A$2:$A$5, "Needs Improvement", -1)</f>
        <v>Advanced</v>
      </c>
    </row>
    <row r="5">
      <c r="A5" s="4" t="s">
        <v>20</v>
      </c>
      <c r="B5" s="4" t="s">
        <v>17</v>
      </c>
      <c r="C5" s="4" t="s">
        <v>15</v>
      </c>
      <c r="D5" s="4" t="s">
        <v>15</v>
      </c>
      <c r="E5" s="4" t="s">
        <v>17</v>
      </c>
      <c r="F5" s="4" t="s">
        <v>14</v>
      </c>
      <c r="G5" s="4" t="s">
        <v>15</v>
      </c>
      <c r="H5" s="4" t="s">
        <v>15</v>
      </c>
      <c r="I5" s="4" t="s">
        <v>14</v>
      </c>
      <c r="J5" s="4" t="s">
        <v>17</v>
      </c>
      <c r="K5" s="5">
        <f>PlayerAttributes!AK6</f>
        <v>53.46</v>
      </c>
      <c r="L5" s="5">
        <f t="shared" si="1"/>
        <v>58.806</v>
      </c>
      <c r="M5" s="6" t="str">
        <f t="array" ref="M5">XLOOKUP((K5 * 1.1), Scoring!$B$2:$B$5, Scoring!$A$2:$A$5, "Needs Improvement", -1)</f>
        <v>Advanced</v>
      </c>
    </row>
    <row r="6">
      <c r="A6" s="4" t="s">
        <v>21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17</v>
      </c>
      <c r="H6" s="4" t="s">
        <v>15</v>
      </c>
      <c r="I6" s="4" t="s">
        <v>15</v>
      </c>
      <c r="J6" s="4" t="s">
        <v>17</v>
      </c>
      <c r="K6" s="5">
        <f>PlayerAttributes!AK7</f>
        <v>46.22</v>
      </c>
      <c r="L6" s="5">
        <f t="shared" si="1"/>
        <v>50.842</v>
      </c>
      <c r="M6" s="6" t="str">
        <f t="array" ref="M6">XLOOKUP((K6 * 1.1), Scoring!$B$2:$B$5, Scoring!$A$2:$A$5, "Needs Improvement", -1)</f>
        <v>Intermediate</v>
      </c>
    </row>
    <row r="7">
      <c r="A7" s="4" t="s">
        <v>22</v>
      </c>
      <c r="B7" s="4" t="s">
        <v>15</v>
      </c>
      <c r="C7" s="4" t="s">
        <v>15</v>
      </c>
      <c r="D7" s="4" t="s">
        <v>15</v>
      </c>
      <c r="E7" s="4" t="s">
        <v>17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17</v>
      </c>
      <c r="K7" s="5">
        <f>PlayerAttributes!AK8</f>
        <v>49.96</v>
      </c>
      <c r="L7" s="5">
        <f t="shared" si="1"/>
        <v>54.956</v>
      </c>
      <c r="M7" s="6" t="str">
        <f t="array" ref="M7">XLOOKUP((K7 * 1.1), Scoring!$B$2:$B$5, Scoring!$A$2:$A$5, "Needs Improvement", -1)</f>
        <v>Advanced</v>
      </c>
    </row>
    <row r="8">
      <c r="A8" s="4" t="s">
        <v>23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14</v>
      </c>
      <c r="J8" s="4" t="s">
        <v>17</v>
      </c>
      <c r="K8" s="5">
        <f>PlayerAttributes!AK9</f>
        <v>53.53</v>
      </c>
      <c r="L8" s="5">
        <f t="shared" si="1"/>
        <v>58.883</v>
      </c>
      <c r="M8" s="6" t="str">
        <f t="array" ref="M8">XLOOKUP((K8 * 1.1), Scoring!$B$2:$B$5, Scoring!$A$2:$A$5, "Needs Improvement", -1)</f>
        <v>Advanced</v>
      </c>
    </row>
    <row r="9">
      <c r="A9" s="4" t="s">
        <v>24</v>
      </c>
      <c r="B9" s="4" t="s">
        <v>15</v>
      </c>
      <c r="C9" s="4" t="s">
        <v>15</v>
      </c>
      <c r="D9" s="4" t="s">
        <v>17</v>
      </c>
      <c r="E9" s="4" t="s">
        <v>17</v>
      </c>
      <c r="F9" s="4" t="s">
        <v>15</v>
      </c>
      <c r="G9" s="4" t="s">
        <v>15</v>
      </c>
      <c r="H9" s="4" t="s">
        <v>18</v>
      </c>
      <c r="I9" s="4" t="s">
        <v>17</v>
      </c>
      <c r="J9" s="4" t="s">
        <v>17</v>
      </c>
      <c r="K9" s="5">
        <f>PlayerAttributes!AK10</f>
        <v>42.99</v>
      </c>
      <c r="L9" s="5">
        <f t="shared" si="1"/>
        <v>47.289</v>
      </c>
      <c r="M9" s="6" t="str">
        <f t="array" ref="M9">XLOOKUP((K9 * 1.1), Scoring!$B$2:$B$5, Scoring!$A$2:$A$5, "Needs Improvement", -1)</f>
        <v>Intermediate</v>
      </c>
    </row>
    <row r="10">
      <c r="A10" s="4" t="s">
        <v>25</v>
      </c>
      <c r="B10" s="4" t="s">
        <v>15</v>
      </c>
      <c r="C10" s="4" t="s">
        <v>15</v>
      </c>
      <c r="D10" s="4" t="s">
        <v>15</v>
      </c>
      <c r="E10" s="4" t="s">
        <v>17</v>
      </c>
      <c r="F10" s="4" t="s">
        <v>15</v>
      </c>
      <c r="G10" s="4" t="s">
        <v>17</v>
      </c>
      <c r="H10" s="4" t="s">
        <v>15</v>
      </c>
      <c r="I10" s="4" t="s">
        <v>15</v>
      </c>
      <c r="J10" s="4" t="s">
        <v>17</v>
      </c>
      <c r="K10" s="5">
        <f>PlayerAttributes!AK11</f>
        <v>45.71</v>
      </c>
      <c r="L10" s="5">
        <f t="shared" si="1"/>
        <v>50.281</v>
      </c>
      <c r="M10" s="6" t="str">
        <f t="array" ref="M10">XLOOKUP((K10 * 1.1), Scoring!$B$2:$B$5, Scoring!$A$2:$A$5, "Needs Improvement", -1)</f>
        <v>Intermediate</v>
      </c>
    </row>
    <row r="11">
      <c r="A11" s="4" t="s">
        <v>26</v>
      </c>
      <c r="B11" s="4" t="s">
        <v>15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15</v>
      </c>
      <c r="H11" s="4" t="s">
        <v>15</v>
      </c>
      <c r="I11" s="4" t="s">
        <v>17</v>
      </c>
      <c r="J11" s="4" t="s">
        <v>17</v>
      </c>
      <c r="K11" s="5">
        <f>PlayerAttributes!AK12</f>
        <v>41.97</v>
      </c>
      <c r="L11" s="5">
        <f t="shared" si="1"/>
        <v>46.167</v>
      </c>
      <c r="M11" s="6" t="str">
        <f t="array" ref="M11">XLOOKUP((K11 * 1.1), Scoring!$B$2:$B$5, Scoring!$A$2:$A$5, "Needs Improvement", -1)</f>
        <v>Intermediate</v>
      </c>
    </row>
    <row r="12">
      <c r="A12" s="4" t="s">
        <v>27</v>
      </c>
      <c r="B12" s="4" t="s">
        <v>17</v>
      </c>
      <c r="C12" s="4" t="s">
        <v>17</v>
      </c>
      <c r="D12" s="4" t="s">
        <v>17</v>
      </c>
      <c r="E12" s="4" t="s">
        <v>17</v>
      </c>
      <c r="F12" s="4" t="s">
        <v>17</v>
      </c>
      <c r="G12" s="4" t="s">
        <v>17</v>
      </c>
      <c r="H12" s="4" t="s">
        <v>15</v>
      </c>
      <c r="I12" s="4" t="s">
        <v>15</v>
      </c>
      <c r="J12" s="4" t="s">
        <v>17</v>
      </c>
      <c r="K12" s="5">
        <f>PlayerAttributes!AK13</f>
        <v>39.25</v>
      </c>
      <c r="L12" s="5">
        <f t="shared" si="1"/>
        <v>43.175</v>
      </c>
      <c r="M12" s="6" t="str">
        <f t="array" ref="M12">XLOOKUP((K12 * 1.1), Scoring!$B$2:$B$5, Scoring!$A$2:$A$5, "Needs Improvement", -1)</f>
        <v>Intermediate</v>
      </c>
    </row>
    <row r="13">
      <c r="A13" s="8" t="s">
        <v>28</v>
      </c>
      <c r="B13" s="8" t="s">
        <v>18</v>
      </c>
      <c r="C13" s="8" t="s">
        <v>18</v>
      </c>
      <c r="D13" s="8" t="s">
        <v>18</v>
      </c>
      <c r="E13" s="8" t="s">
        <v>18</v>
      </c>
      <c r="F13" s="8" t="s">
        <v>18</v>
      </c>
      <c r="G13" s="8" t="s">
        <v>18</v>
      </c>
      <c r="H13" s="8" t="s">
        <v>18</v>
      </c>
      <c r="I13" s="8" t="s">
        <v>18</v>
      </c>
      <c r="J13" s="8" t="s">
        <v>18</v>
      </c>
      <c r="K13" s="5">
        <f>PlayerAttributes!AK14</f>
        <v>18</v>
      </c>
      <c r="L13" s="5">
        <f t="shared" si="1"/>
        <v>19.8</v>
      </c>
      <c r="M13" s="6" t="str">
        <f t="array" ref="M13">XLOOKUP((K13 * 1.1), Scoring!$B$2:$B$5, Scoring!$A$2:$A$5, "Needs Improvement", -1)</f>
        <v>Development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4" t="s">
        <v>29</v>
      </c>
      <c r="B14" s="4" t="s">
        <v>15</v>
      </c>
      <c r="C14" s="4" t="s">
        <v>15</v>
      </c>
      <c r="D14" s="4" t="s">
        <v>17</v>
      </c>
      <c r="E14" s="4" t="s">
        <v>17</v>
      </c>
      <c r="F14" s="4" t="s">
        <v>15</v>
      </c>
      <c r="G14" s="4" t="s">
        <v>17</v>
      </c>
      <c r="H14" s="4" t="s">
        <v>17</v>
      </c>
      <c r="I14" s="4" t="s">
        <v>17</v>
      </c>
      <c r="J14" s="4" t="s">
        <v>17</v>
      </c>
      <c r="K14" s="5">
        <f>PlayerAttributes!AK15</f>
        <v>40.1</v>
      </c>
      <c r="L14" s="5">
        <f t="shared" si="1"/>
        <v>44.11</v>
      </c>
      <c r="M14" s="6" t="str">
        <f t="array" ref="M14">XLOOKUP((K14 * 1.1), Scoring!$B$2:$B$5, Scoring!$A$2:$A$5, "Needs Improvement", -1)</f>
        <v>Intermediate</v>
      </c>
    </row>
    <row r="15">
      <c r="A15" s="4" t="s">
        <v>30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15</v>
      </c>
      <c r="G15" s="4" t="s">
        <v>17</v>
      </c>
      <c r="H15" s="4" t="s">
        <v>15</v>
      </c>
      <c r="I15" s="4" t="s">
        <v>15</v>
      </c>
      <c r="J15" s="4" t="s">
        <v>17</v>
      </c>
      <c r="K15" s="5">
        <f>PlayerAttributes!AK16</f>
        <v>40.95</v>
      </c>
      <c r="L15" s="5">
        <f t="shared" si="1"/>
        <v>45.045</v>
      </c>
      <c r="M15" s="6" t="str">
        <f t="array" ref="M15">XLOOKUP((K15 * 1.1), Scoring!$B$2:$B$5, Scoring!$A$2:$A$5, "Needs Improvement", -1)</f>
        <v>Intermediate</v>
      </c>
    </row>
    <row r="16">
      <c r="A16" s="4" t="s">
        <v>31</v>
      </c>
      <c r="B16" s="4" t="s">
        <v>17</v>
      </c>
      <c r="C16" s="4" t="s">
        <v>17</v>
      </c>
      <c r="D16" s="4" t="s">
        <v>17</v>
      </c>
      <c r="E16" s="4" t="s">
        <v>17</v>
      </c>
      <c r="F16" s="4" t="s">
        <v>15</v>
      </c>
      <c r="G16" s="4" t="s">
        <v>17</v>
      </c>
      <c r="H16" s="4" t="s">
        <v>15</v>
      </c>
      <c r="I16" s="4" t="s">
        <v>15</v>
      </c>
      <c r="J16" s="4" t="s">
        <v>15</v>
      </c>
      <c r="K16" s="5">
        <f>PlayerAttributes!AK17</f>
        <v>42.48</v>
      </c>
      <c r="L16" s="5">
        <f t="shared" si="1"/>
        <v>46.728</v>
      </c>
      <c r="M16" s="6" t="str">
        <f t="array" ref="M16">XLOOKUP((K16 * 1.1), Scoring!$B$2:$B$5, Scoring!$A$2:$A$5, "Needs Improvement", -1)</f>
        <v>Intermediate</v>
      </c>
    </row>
    <row r="17">
      <c r="A17" s="4" t="s">
        <v>32</v>
      </c>
      <c r="B17" s="4" t="s">
        <v>15</v>
      </c>
      <c r="C17" s="4" t="s">
        <v>15</v>
      </c>
      <c r="D17" s="4" t="s">
        <v>17</v>
      </c>
      <c r="E17" s="4" t="s">
        <v>17</v>
      </c>
      <c r="F17" s="4" t="s">
        <v>15</v>
      </c>
      <c r="G17" s="4" t="s">
        <v>17</v>
      </c>
      <c r="H17" s="4" t="s">
        <v>15</v>
      </c>
      <c r="I17" s="4" t="s">
        <v>17</v>
      </c>
      <c r="J17" s="4" t="s">
        <v>15</v>
      </c>
      <c r="K17" s="5">
        <f>PlayerAttributes!AK18</f>
        <v>42.99</v>
      </c>
      <c r="L17" s="5">
        <f t="shared" si="1"/>
        <v>47.289</v>
      </c>
      <c r="M17" s="6" t="str">
        <f t="array" ref="M17">XLOOKUP((K17 * 1.1), Scoring!$B$2:$B$5, Scoring!$A$2:$A$5, "Needs Improvement", -1)</f>
        <v>Intermediate</v>
      </c>
    </row>
    <row r="18">
      <c r="A18" s="4" t="s">
        <v>33</v>
      </c>
      <c r="B18" s="4" t="s">
        <v>15</v>
      </c>
      <c r="C18" s="4" t="s">
        <v>17</v>
      </c>
      <c r="D18" s="4" t="s">
        <v>15</v>
      </c>
      <c r="E18" s="4" t="s">
        <v>17</v>
      </c>
      <c r="F18" s="4" t="s">
        <v>17</v>
      </c>
      <c r="G18" s="4" t="s">
        <v>17</v>
      </c>
      <c r="H18" s="4" t="s">
        <v>15</v>
      </c>
      <c r="I18" s="4" t="s">
        <v>17</v>
      </c>
      <c r="J18" s="4" t="s">
        <v>17</v>
      </c>
      <c r="K18" s="5">
        <f>PlayerAttributes!AK19</f>
        <v>39.08</v>
      </c>
      <c r="L18" s="5">
        <f t="shared" si="1"/>
        <v>42.988</v>
      </c>
      <c r="M18" s="6" t="str">
        <f t="array" ref="M18">XLOOKUP((K18 * 1.1), Scoring!$B$2:$B$5, Scoring!$A$2:$A$5, "Needs Improvement", -1)</f>
        <v>Intermediate</v>
      </c>
    </row>
    <row r="19">
      <c r="A19" s="4" t="s">
        <v>34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5">
        <f>PlayerAttributes!AK20</f>
        <v>35</v>
      </c>
      <c r="L19" s="5">
        <f t="shared" si="1"/>
        <v>38.5</v>
      </c>
      <c r="M19" s="6" t="str">
        <f t="array" ref="M19">XLOOKUP((K19 * 1.1), Scoring!$B$2:$B$5, Scoring!$A$2:$A$5, "Needs Improvement", -1)</f>
        <v>Intermediate</v>
      </c>
    </row>
    <row r="20">
      <c r="L20" s="6"/>
      <c r="M20" s="6"/>
    </row>
    <row r="21">
      <c r="A21" s="10" t="s">
        <v>35</v>
      </c>
      <c r="B21" s="11" t="s">
        <v>36</v>
      </c>
    </row>
    <row r="22">
      <c r="F22" s="12"/>
    </row>
    <row r="23">
      <c r="A23" s="1" t="s">
        <v>37</v>
      </c>
      <c r="B23" s="1" t="s">
        <v>18</v>
      </c>
      <c r="C23" s="13"/>
      <c r="D23" s="1" t="s">
        <v>17</v>
      </c>
      <c r="E23" s="13"/>
      <c r="F23" s="1" t="s">
        <v>15</v>
      </c>
      <c r="G23" s="13"/>
      <c r="H23" s="1"/>
      <c r="I23" s="1" t="s">
        <v>14</v>
      </c>
      <c r="J23" s="13"/>
      <c r="K23" s="13"/>
      <c r="L23" s="14"/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4" t="s">
        <v>1</v>
      </c>
      <c r="B24" s="15" t="s">
        <v>38</v>
      </c>
      <c r="D24" s="15" t="s">
        <v>39</v>
      </c>
      <c r="F24" s="15" t="s">
        <v>40</v>
      </c>
      <c r="H24" s="15"/>
      <c r="I24" s="15" t="s">
        <v>41</v>
      </c>
      <c r="L24" s="6"/>
      <c r="M24" s="6"/>
    </row>
    <row r="25">
      <c r="A25" s="4" t="s">
        <v>2</v>
      </c>
      <c r="B25" s="15" t="s">
        <v>42</v>
      </c>
      <c r="D25" s="15" t="s">
        <v>43</v>
      </c>
      <c r="F25" s="15" t="s">
        <v>44</v>
      </c>
      <c r="H25" s="15"/>
      <c r="I25" s="15" t="s">
        <v>45</v>
      </c>
      <c r="L25" s="6"/>
      <c r="M25" s="6"/>
    </row>
    <row r="26">
      <c r="A26" s="4" t="s">
        <v>3</v>
      </c>
      <c r="B26" s="15" t="s">
        <v>46</v>
      </c>
      <c r="D26" s="15" t="s">
        <v>47</v>
      </c>
      <c r="F26" s="15" t="s">
        <v>48</v>
      </c>
      <c r="H26" s="15"/>
      <c r="I26" s="15" t="s">
        <v>49</v>
      </c>
      <c r="L26" s="6"/>
      <c r="M26" s="6"/>
    </row>
    <row r="27">
      <c r="A27" s="4" t="s">
        <v>4</v>
      </c>
      <c r="B27" s="15" t="s">
        <v>50</v>
      </c>
      <c r="D27" s="15" t="s">
        <v>51</v>
      </c>
      <c r="F27" s="15" t="s">
        <v>52</v>
      </c>
      <c r="H27" s="15"/>
      <c r="I27" s="15" t="s">
        <v>53</v>
      </c>
      <c r="L27" s="6"/>
      <c r="M27" s="6"/>
    </row>
    <row r="28">
      <c r="A28" s="4" t="s">
        <v>5</v>
      </c>
      <c r="B28" s="15" t="s">
        <v>54</v>
      </c>
      <c r="D28" s="15" t="s">
        <v>55</v>
      </c>
      <c r="F28" s="15" t="s">
        <v>56</v>
      </c>
      <c r="H28" s="15"/>
      <c r="I28" s="15" t="s">
        <v>57</v>
      </c>
      <c r="L28" s="6"/>
      <c r="M28" s="6"/>
    </row>
    <row r="29">
      <c r="A29" s="4" t="s">
        <v>6</v>
      </c>
      <c r="B29" s="15" t="s">
        <v>58</v>
      </c>
      <c r="D29" s="15" t="s">
        <v>59</v>
      </c>
      <c r="F29" s="15" t="s">
        <v>60</v>
      </c>
      <c r="H29" s="15"/>
      <c r="I29" s="15" t="s">
        <v>61</v>
      </c>
      <c r="L29" s="6"/>
      <c r="M29" s="6"/>
    </row>
    <row r="30">
      <c r="A30" s="4" t="s">
        <v>7</v>
      </c>
      <c r="B30" s="4" t="s">
        <v>62</v>
      </c>
      <c r="D30" s="4" t="s">
        <v>63</v>
      </c>
      <c r="F30" s="4" t="s">
        <v>64</v>
      </c>
      <c r="H30" s="15"/>
      <c r="I30" s="4" t="s">
        <v>65</v>
      </c>
      <c r="L30" s="6"/>
      <c r="M30" s="6"/>
    </row>
    <row r="31">
      <c r="A31" s="4" t="s">
        <v>8</v>
      </c>
      <c r="B31" s="4" t="s">
        <v>66</v>
      </c>
      <c r="D31" s="4" t="s">
        <v>67</v>
      </c>
      <c r="F31" s="4" t="s">
        <v>68</v>
      </c>
      <c r="H31" s="15"/>
      <c r="I31" s="4" t="s">
        <v>69</v>
      </c>
      <c r="L31" s="6"/>
      <c r="M31" s="6"/>
    </row>
    <row r="32">
      <c r="A32" s="4" t="s">
        <v>9</v>
      </c>
      <c r="B32" s="15" t="s">
        <v>70</v>
      </c>
      <c r="D32" s="15" t="s">
        <v>71</v>
      </c>
      <c r="F32" s="15" t="s">
        <v>72</v>
      </c>
      <c r="H32" s="15"/>
      <c r="I32" s="15" t="s">
        <v>73</v>
      </c>
      <c r="L32" s="6"/>
      <c r="M32" s="6"/>
    </row>
    <row r="33">
      <c r="L33" s="6"/>
      <c r="M33" s="6"/>
    </row>
    <row r="34">
      <c r="L34" s="6"/>
      <c r="M34" s="6"/>
    </row>
    <row r="35">
      <c r="L35" s="6"/>
      <c r="M35" s="6"/>
    </row>
    <row r="36">
      <c r="L36" s="6"/>
      <c r="M36" s="6"/>
    </row>
    <row r="37">
      <c r="L37" s="6"/>
      <c r="M37" s="6"/>
    </row>
    <row r="38">
      <c r="L38" s="6"/>
      <c r="M38" s="6"/>
    </row>
    <row r="39">
      <c r="L39" s="6"/>
      <c r="M39" s="6"/>
    </row>
    <row r="40">
      <c r="L40" s="6"/>
      <c r="M40" s="6"/>
    </row>
    <row r="41">
      <c r="L41" s="6"/>
      <c r="M41" s="6"/>
    </row>
    <row r="42">
      <c r="L42" s="6"/>
      <c r="M42" s="6"/>
    </row>
    <row r="43">
      <c r="L43" s="6"/>
      <c r="M43" s="6"/>
    </row>
    <row r="44">
      <c r="L44" s="6"/>
      <c r="M44" s="6"/>
    </row>
    <row r="45">
      <c r="L45" s="6"/>
      <c r="M45" s="6"/>
    </row>
    <row r="46">
      <c r="L46" s="6"/>
      <c r="M46" s="6"/>
    </row>
    <row r="47">
      <c r="L47" s="6"/>
      <c r="M47" s="6"/>
    </row>
    <row r="48">
      <c r="L48" s="6"/>
      <c r="M48" s="6"/>
    </row>
    <row r="49">
      <c r="L49" s="6"/>
      <c r="M49" s="6"/>
    </row>
    <row r="50">
      <c r="L50" s="6"/>
      <c r="M50" s="6"/>
    </row>
    <row r="51">
      <c r="L51" s="6"/>
      <c r="M51" s="6"/>
    </row>
    <row r="52">
      <c r="L52" s="6"/>
      <c r="M52" s="6"/>
    </row>
    <row r="53">
      <c r="L53" s="6"/>
      <c r="M53" s="6"/>
    </row>
    <row r="54">
      <c r="L54" s="6"/>
      <c r="M54" s="6"/>
    </row>
    <row r="55">
      <c r="L55" s="6"/>
      <c r="M55" s="6"/>
    </row>
    <row r="56">
      <c r="L56" s="6"/>
      <c r="M56" s="6"/>
    </row>
    <row r="57">
      <c r="L57" s="6"/>
      <c r="M57" s="6"/>
    </row>
    <row r="58">
      <c r="L58" s="6"/>
      <c r="M58" s="6"/>
    </row>
    <row r="59">
      <c r="L59" s="6"/>
      <c r="M59" s="6"/>
    </row>
    <row r="60">
      <c r="L60" s="6"/>
      <c r="M60" s="6"/>
    </row>
    <row r="61">
      <c r="L61" s="6"/>
      <c r="M61" s="6"/>
    </row>
    <row r="62">
      <c r="L62" s="6"/>
      <c r="M62" s="6"/>
    </row>
    <row r="63">
      <c r="L63" s="6"/>
      <c r="M63" s="6"/>
    </row>
    <row r="64">
      <c r="L64" s="6"/>
      <c r="M64" s="6"/>
    </row>
    <row r="65">
      <c r="L65" s="6"/>
      <c r="M65" s="6"/>
    </row>
    <row r="66">
      <c r="L66" s="6"/>
      <c r="M66" s="6"/>
    </row>
    <row r="67">
      <c r="L67" s="6"/>
      <c r="M67" s="6"/>
    </row>
    <row r="68">
      <c r="L68" s="6"/>
      <c r="M68" s="6"/>
    </row>
    <row r="69">
      <c r="L69" s="6"/>
      <c r="M69" s="6"/>
    </row>
    <row r="70">
      <c r="L70" s="6"/>
      <c r="M70" s="6"/>
    </row>
    <row r="71">
      <c r="L71" s="6"/>
      <c r="M71" s="6"/>
    </row>
    <row r="72">
      <c r="L72" s="6"/>
      <c r="M72" s="6"/>
    </row>
    <row r="73">
      <c r="L73" s="6"/>
      <c r="M73" s="6"/>
    </row>
    <row r="74">
      <c r="L74" s="6"/>
      <c r="M74" s="6"/>
    </row>
    <row r="75">
      <c r="L75" s="6"/>
      <c r="M75" s="6"/>
    </row>
    <row r="76">
      <c r="L76" s="6"/>
      <c r="M76" s="6"/>
    </row>
    <row r="77">
      <c r="L77" s="6"/>
      <c r="M77" s="6"/>
    </row>
    <row r="78">
      <c r="L78" s="6"/>
      <c r="M78" s="6"/>
    </row>
    <row r="79">
      <c r="L79" s="6"/>
      <c r="M79" s="6"/>
    </row>
    <row r="80">
      <c r="L80" s="6"/>
      <c r="M80" s="6"/>
    </row>
    <row r="81">
      <c r="L81" s="6"/>
      <c r="M81" s="6"/>
    </row>
    <row r="82">
      <c r="L82" s="6"/>
      <c r="M82" s="6"/>
    </row>
    <row r="83">
      <c r="L83" s="6"/>
      <c r="M83" s="6"/>
    </row>
    <row r="84">
      <c r="L84" s="6"/>
      <c r="M84" s="6"/>
    </row>
    <row r="85">
      <c r="L85" s="6"/>
      <c r="M85" s="6"/>
    </row>
    <row r="86">
      <c r="L86" s="6"/>
      <c r="M86" s="6"/>
    </row>
    <row r="87">
      <c r="L87" s="6"/>
      <c r="M87" s="6"/>
    </row>
    <row r="88">
      <c r="L88" s="6"/>
      <c r="M88" s="6"/>
    </row>
    <row r="89">
      <c r="L89" s="6"/>
      <c r="M89" s="6"/>
    </row>
    <row r="90">
      <c r="L90" s="6"/>
      <c r="M90" s="6"/>
    </row>
    <row r="91">
      <c r="L91" s="6"/>
      <c r="M91" s="6"/>
    </row>
    <row r="92">
      <c r="L92" s="6"/>
      <c r="M92" s="6"/>
    </row>
    <row r="93">
      <c r="L93" s="6"/>
      <c r="M93" s="6"/>
    </row>
    <row r="94">
      <c r="L94" s="6"/>
      <c r="M94" s="6"/>
    </row>
    <row r="95">
      <c r="L95" s="6"/>
      <c r="M95" s="6"/>
    </row>
    <row r="96">
      <c r="L96" s="6"/>
      <c r="M96" s="6"/>
    </row>
    <row r="97">
      <c r="L97" s="6"/>
      <c r="M97" s="6"/>
    </row>
    <row r="98">
      <c r="L98" s="6"/>
      <c r="M98" s="6"/>
    </row>
    <row r="99">
      <c r="L99" s="6"/>
      <c r="M99" s="6"/>
    </row>
    <row r="100">
      <c r="L100" s="6"/>
      <c r="M100" s="6"/>
    </row>
    <row r="101">
      <c r="L101" s="6"/>
      <c r="M101" s="6"/>
    </row>
    <row r="102">
      <c r="L102" s="6"/>
      <c r="M102" s="6"/>
    </row>
    <row r="103">
      <c r="L103" s="6"/>
      <c r="M103" s="6"/>
    </row>
    <row r="104">
      <c r="L104" s="6"/>
      <c r="M104" s="6"/>
    </row>
    <row r="105">
      <c r="L105" s="6"/>
      <c r="M105" s="6"/>
    </row>
    <row r="106">
      <c r="L106" s="6"/>
      <c r="M106" s="6"/>
    </row>
    <row r="107">
      <c r="L107" s="6"/>
      <c r="M107" s="6"/>
    </row>
    <row r="108">
      <c r="L108" s="6"/>
      <c r="M108" s="6"/>
    </row>
    <row r="109">
      <c r="L109" s="6"/>
      <c r="M109" s="6"/>
    </row>
    <row r="110">
      <c r="L110" s="6"/>
      <c r="M110" s="6"/>
    </row>
    <row r="111">
      <c r="L111" s="6"/>
      <c r="M111" s="6"/>
    </row>
    <row r="112">
      <c r="L112" s="6"/>
      <c r="M112" s="6"/>
    </row>
    <row r="113">
      <c r="L113" s="6"/>
      <c r="M113" s="6"/>
    </row>
    <row r="114">
      <c r="L114" s="6"/>
      <c r="M114" s="6"/>
    </row>
    <row r="115">
      <c r="L115" s="6"/>
      <c r="M115" s="6"/>
    </row>
    <row r="116">
      <c r="L116" s="6"/>
      <c r="M116" s="6"/>
    </row>
    <row r="117">
      <c r="L117" s="6"/>
      <c r="M117" s="6"/>
    </row>
    <row r="118">
      <c r="L118" s="6"/>
      <c r="M118" s="6"/>
    </row>
    <row r="119">
      <c r="L119" s="6"/>
      <c r="M119" s="6"/>
    </row>
    <row r="120">
      <c r="L120" s="6"/>
      <c r="M120" s="6"/>
    </row>
    <row r="121">
      <c r="L121" s="6"/>
      <c r="M121" s="6"/>
    </row>
    <row r="122">
      <c r="L122" s="6"/>
      <c r="M122" s="6"/>
    </row>
    <row r="123">
      <c r="L123" s="6"/>
      <c r="M123" s="6"/>
    </row>
    <row r="124">
      <c r="L124" s="6"/>
      <c r="M124" s="6"/>
    </row>
    <row r="125">
      <c r="L125" s="6"/>
      <c r="M125" s="6"/>
    </row>
    <row r="126">
      <c r="L126" s="6"/>
      <c r="M126" s="6"/>
    </row>
    <row r="127">
      <c r="L127" s="6"/>
      <c r="M127" s="6"/>
    </row>
    <row r="128">
      <c r="L128" s="6"/>
      <c r="M128" s="6"/>
    </row>
    <row r="129">
      <c r="L129" s="6"/>
      <c r="M129" s="6"/>
    </row>
    <row r="130">
      <c r="L130" s="6"/>
      <c r="M130" s="6"/>
    </row>
    <row r="131">
      <c r="L131" s="6"/>
      <c r="M131" s="6"/>
    </row>
    <row r="132">
      <c r="L132" s="6"/>
      <c r="M132" s="6"/>
    </row>
    <row r="133">
      <c r="L133" s="6"/>
      <c r="M133" s="6"/>
    </row>
    <row r="134">
      <c r="L134" s="6"/>
      <c r="M134" s="6"/>
    </row>
    <row r="135">
      <c r="L135" s="6"/>
      <c r="M135" s="6"/>
    </row>
    <row r="136">
      <c r="L136" s="6"/>
      <c r="M136" s="6"/>
    </row>
    <row r="137">
      <c r="L137" s="6"/>
      <c r="M137" s="6"/>
    </row>
    <row r="138">
      <c r="L138" s="6"/>
      <c r="M138" s="6"/>
    </row>
    <row r="139">
      <c r="L139" s="6"/>
      <c r="M139" s="6"/>
    </row>
    <row r="140">
      <c r="L140" s="6"/>
      <c r="M140" s="6"/>
    </row>
    <row r="141">
      <c r="L141" s="6"/>
      <c r="M141" s="6"/>
    </row>
    <row r="142">
      <c r="L142" s="6"/>
      <c r="M142" s="6"/>
    </row>
    <row r="143">
      <c r="L143" s="6"/>
      <c r="M143" s="6"/>
    </row>
    <row r="144">
      <c r="L144" s="6"/>
      <c r="M144" s="6"/>
    </row>
    <row r="145">
      <c r="L145" s="6"/>
      <c r="M145" s="6"/>
    </row>
    <row r="146">
      <c r="L146" s="6"/>
      <c r="M146" s="6"/>
    </row>
    <row r="147">
      <c r="L147" s="6"/>
      <c r="M147" s="6"/>
    </row>
    <row r="148">
      <c r="L148" s="6"/>
      <c r="M148" s="6"/>
    </row>
    <row r="149">
      <c r="L149" s="6"/>
      <c r="M149" s="6"/>
    </row>
    <row r="150">
      <c r="L150" s="6"/>
      <c r="M150" s="6"/>
    </row>
    <row r="151">
      <c r="L151" s="6"/>
      <c r="M151" s="6"/>
    </row>
    <row r="152">
      <c r="L152" s="6"/>
      <c r="M152" s="6"/>
    </row>
    <row r="153">
      <c r="L153" s="6"/>
      <c r="M153" s="6"/>
    </row>
    <row r="154">
      <c r="L154" s="6"/>
      <c r="M154" s="6"/>
    </row>
    <row r="155">
      <c r="L155" s="6"/>
      <c r="M155" s="6"/>
    </row>
    <row r="156">
      <c r="L156" s="6"/>
      <c r="M156" s="6"/>
    </row>
    <row r="157">
      <c r="L157" s="6"/>
      <c r="M157" s="6"/>
    </row>
    <row r="158">
      <c r="L158" s="6"/>
      <c r="M158" s="6"/>
    </row>
    <row r="159">
      <c r="L159" s="6"/>
      <c r="M159" s="6"/>
    </row>
    <row r="160">
      <c r="L160" s="6"/>
      <c r="M160" s="6"/>
    </row>
    <row r="161">
      <c r="L161" s="6"/>
      <c r="M161" s="6"/>
    </row>
    <row r="162">
      <c r="L162" s="6"/>
      <c r="M162" s="6"/>
    </row>
    <row r="163">
      <c r="L163" s="6"/>
      <c r="M163" s="6"/>
    </row>
    <row r="164">
      <c r="L164" s="6"/>
      <c r="M164" s="6"/>
    </row>
    <row r="165">
      <c r="L165" s="6"/>
      <c r="M165" s="6"/>
    </row>
    <row r="166">
      <c r="L166" s="6"/>
      <c r="M166" s="6"/>
    </row>
    <row r="167">
      <c r="L167" s="6"/>
      <c r="M167" s="6"/>
    </row>
    <row r="168">
      <c r="L168" s="6"/>
      <c r="M168" s="6"/>
    </row>
    <row r="169">
      <c r="L169" s="6"/>
      <c r="M169" s="6"/>
    </row>
    <row r="170">
      <c r="L170" s="6"/>
      <c r="M170" s="6"/>
    </row>
    <row r="171">
      <c r="L171" s="6"/>
      <c r="M171" s="6"/>
    </row>
    <row r="172">
      <c r="L172" s="6"/>
      <c r="M172" s="6"/>
    </row>
    <row r="173">
      <c r="L173" s="6"/>
      <c r="M173" s="6"/>
    </row>
    <row r="174">
      <c r="L174" s="6"/>
      <c r="M174" s="6"/>
    </row>
    <row r="175">
      <c r="L175" s="6"/>
      <c r="M175" s="6"/>
    </row>
    <row r="176">
      <c r="L176" s="6"/>
      <c r="M176" s="6"/>
    </row>
    <row r="177">
      <c r="L177" s="6"/>
      <c r="M177" s="6"/>
    </row>
    <row r="178">
      <c r="L178" s="6"/>
      <c r="M178" s="6"/>
    </row>
    <row r="179">
      <c r="L179" s="6"/>
      <c r="M179" s="6"/>
    </row>
    <row r="180">
      <c r="L180" s="6"/>
      <c r="M180" s="6"/>
    </row>
    <row r="181">
      <c r="L181" s="6"/>
      <c r="M181" s="6"/>
    </row>
    <row r="182">
      <c r="L182" s="6"/>
      <c r="M182" s="6"/>
    </row>
    <row r="183">
      <c r="L183" s="6"/>
      <c r="M183" s="6"/>
    </row>
    <row r="184">
      <c r="L184" s="6"/>
      <c r="M184" s="6"/>
    </row>
    <row r="185">
      <c r="L185" s="6"/>
      <c r="M185" s="6"/>
    </row>
    <row r="186">
      <c r="L186" s="6"/>
      <c r="M186" s="6"/>
    </row>
    <row r="187">
      <c r="L187" s="6"/>
      <c r="M187" s="6"/>
    </row>
    <row r="188">
      <c r="L188" s="6"/>
      <c r="M188" s="6"/>
    </row>
    <row r="189">
      <c r="L189" s="6"/>
      <c r="M189" s="6"/>
    </row>
    <row r="190">
      <c r="L190" s="6"/>
      <c r="M190" s="6"/>
    </row>
    <row r="191">
      <c r="L191" s="6"/>
      <c r="M191" s="6"/>
    </row>
    <row r="192">
      <c r="L192" s="6"/>
      <c r="M192" s="6"/>
    </row>
    <row r="193">
      <c r="L193" s="6"/>
      <c r="M193" s="6"/>
    </row>
    <row r="194">
      <c r="L194" s="6"/>
      <c r="M194" s="6"/>
    </row>
    <row r="195">
      <c r="L195" s="6"/>
      <c r="M195" s="6"/>
    </row>
    <row r="196">
      <c r="L196" s="6"/>
      <c r="M196" s="6"/>
    </row>
    <row r="197">
      <c r="L197" s="6"/>
      <c r="M197" s="6"/>
    </row>
    <row r="198">
      <c r="L198" s="6"/>
      <c r="M198" s="6"/>
    </row>
    <row r="199">
      <c r="L199" s="6"/>
      <c r="M199" s="6"/>
    </row>
    <row r="200">
      <c r="L200" s="6"/>
      <c r="M200" s="6"/>
    </row>
    <row r="201">
      <c r="L201" s="6"/>
      <c r="M201" s="6"/>
    </row>
    <row r="202">
      <c r="L202" s="6"/>
      <c r="M202" s="6"/>
    </row>
    <row r="203">
      <c r="L203" s="6"/>
      <c r="M203" s="6"/>
    </row>
    <row r="204">
      <c r="L204" s="6"/>
      <c r="M204" s="6"/>
    </row>
    <row r="205">
      <c r="L205" s="6"/>
      <c r="M205" s="6"/>
    </row>
    <row r="206">
      <c r="L206" s="6"/>
      <c r="M206" s="6"/>
    </row>
    <row r="207">
      <c r="L207" s="6"/>
      <c r="M207" s="6"/>
    </row>
    <row r="208">
      <c r="L208" s="6"/>
      <c r="M208" s="6"/>
    </row>
    <row r="209">
      <c r="L209" s="6"/>
      <c r="M209" s="6"/>
    </row>
    <row r="210">
      <c r="L210" s="6"/>
      <c r="M210" s="6"/>
    </row>
    <row r="211">
      <c r="L211" s="6"/>
      <c r="M211" s="6"/>
    </row>
    <row r="212">
      <c r="L212" s="6"/>
      <c r="M212" s="6"/>
    </row>
    <row r="213">
      <c r="L213" s="6"/>
      <c r="M213" s="6"/>
    </row>
    <row r="214">
      <c r="L214" s="6"/>
      <c r="M214" s="6"/>
    </row>
    <row r="215">
      <c r="L215" s="6"/>
      <c r="M215" s="6"/>
    </row>
    <row r="216">
      <c r="L216" s="6"/>
      <c r="M216" s="6"/>
    </row>
    <row r="217">
      <c r="L217" s="6"/>
      <c r="M217" s="6"/>
    </row>
    <row r="218">
      <c r="L218" s="6"/>
      <c r="M218" s="6"/>
    </row>
    <row r="219">
      <c r="L219" s="6"/>
      <c r="M219" s="6"/>
    </row>
    <row r="220">
      <c r="L220" s="6"/>
      <c r="M220" s="6"/>
    </row>
    <row r="221">
      <c r="L221" s="6"/>
      <c r="M221" s="6"/>
    </row>
    <row r="222">
      <c r="L222" s="6"/>
      <c r="M222" s="6"/>
    </row>
    <row r="223">
      <c r="L223" s="6"/>
      <c r="M223" s="6"/>
    </row>
    <row r="224">
      <c r="L224" s="6"/>
      <c r="M224" s="6"/>
    </row>
    <row r="225">
      <c r="L225" s="6"/>
      <c r="M225" s="6"/>
    </row>
    <row r="226">
      <c r="L226" s="6"/>
      <c r="M226" s="6"/>
    </row>
    <row r="227">
      <c r="L227" s="6"/>
      <c r="M227" s="6"/>
    </row>
    <row r="228">
      <c r="L228" s="6"/>
      <c r="M228" s="6"/>
    </row>
    <row r="229">
      <c r="L229" s="6"/>
      <c r="M229" s="6"/>
    </row>
    <row r="230">
      <c r="L230" s="6"/>
      <c r="M230" s="6"/>
    </row>
    <row r="231">
      <c r="L231" s="6"/>
      <c r="M231" s="6"/>
    </row>
    <row r="232">
      <c r="L232" s="6"/>
      <c r="M232" s="6"/>
    </row>
    <row r="233">
      <c r="L233" s="6"/>
      <c r="M233" s="6"/>
    </row>
    <row r="234">
      <c r="L234" s="6"/>
      <c r="M234" s="6"/>
    </row>
    <row r="235">
      <c r="L235" s="6"/>
      <c r="M235" s="6"/>
    </row>
    <row r="236">
      <c r="L236" s="6"/>
      <c r="M236" s="6"/>
    </row>
    <row r="237">
      <c r="L237" s="6"/>
      <c r="M237" s="6"/>
    </row>
    <row r="238">
      <c r="L238" s="6"/>
      <c r="M238" s="6"/>
    </row>
    <row r="239">
      <c r="L239" s="6"/>
      <c r="M239" s="6"/>
    </row>
    <row r="240">
      <c r="L240" s="6"/>
      <c r="M240" s="6"/>
    </row>
    <row r="241">
      <c r="L241" s="6"/>
      <c r="M241" s="6"/>
    </row>
    <row r="242">
      <c r="L242" s="6"/>
      <c r="M242" s="6"/>
    </row>
    <row r="243">
      <c r="L243" s="6"/>
      <c r="M243" s="6"/>
    </row>
    <row r="244">
      <c r="L244" s="6"/>
      <c r="M244" s="6"/>
    </row>
    <row r="245">
      <c r="L245" s="6"/>
      <c r="M245" s="6"/>
    </row>
    <row r="246">
      <c r="L246" s="6"/>
      <c r="M246" s="6"/>
    </row>
    <row r="247">
      <c r="L247" s="6"/>
      <c r="M247" s="6"/>
    </row>
    <row r="248">
      <c r="L248" s="6"/>
      <c r="M248" s="6"/>
    </row>
    <row r="249">
      <c r="L249" s="6"/>
      <c r="M249" s="6"/>
    </row>
    <row r="250">
      <c r="L250" s="6"/>
      <c r="M250" s="6"/>
    </row>
    <row r="251">
      <c r="L251" s="6"/>
      <c r="M251" s="6"/>
    </row>
    <row r="252">
      <c r="L252" s="6"/>
      <c r="M252" s="6"/>
    </row>
    <row r="253">
      <c r="L253" s="6"/>
      <c r="M253" s="6"/>
    </row>
    <row r="254">
      <c r="L254" s="6"/>
      <c r="M254" s="6"/>
    </row>
    <row r="255">
      <c r="L255" s="6"/>
      <c r="M255" s="6"/>
    </row>
    <row r="256">
      <c r="L256" s="6"/>
      <c r="M256" s="6"/>
    </row>
    <row r="257">
      <c r="L257" s="6"/>
      <c r="M257" s="6"/>
    </row>
    <row r="258">
      <c r="L258" s="6"/>
      <c r="M258" s="6"/>
    </row>
    <row r="259">
      <c r="L259" s="6"/>
      <c r="M259" s="6"/>
    </row>
    <row r="260">
      <c r="L260" s="6"/>
      <c r="M260" s="6"/>
    </row>
    <row r="261">
      <c r="L261" s="6"/>
      <c r="M261" s="6"/>
    </row>
    <row r="262">
      <c r="L262" s="6"/>
      <c r="M262" s="6"/>
    </row>
    <row r="263">
      <c r="L263" s="6"/>
      <c r="M263" s="6"/>
    </row>
    <row r="264">
      <c r="L264" s="6"/>
      <c r="M264" s="6"/>
    </row>
    <row r="265">
      <c r="L265" s="6"/>
      <c r="M265" s="6"/>
    </row>
    <row r="266">
      <c r="L266" s="6"/>
      <c r="M266" s="6"/>
    </row>
    <row r="267">
      <c r="L267" s="6"/>
      <c r="M267" s="6"/>
    </row>
    <row r="268">
      <c r="L268" s="6"/>
      <c r="M268" s="6"/>
    </row>
    <row r="269">
      <c r="L269" s="6"/>
      <c r="M269" s="6"/>
    </row>
    <row r="270">
      <c r="L270" s="6"/>
      <c r="M270" s="6"/>
    </row>
    <row r="271">
      <c r="L271" s="6"/>
      <c r="M271" s="6"/>
    </row>
    <row r="272">
      <c r="L272" s="6"/>
      <c r="M272" s="6"/>
    </row>
    <row r="273">
      <c r="L273" s="6"/>
      <c r="M273" s="6"/>
    </row>
    <row r="274">
      <c r="L274" s="6"/>
      <c r="M274" s="6"/>
    </row>
    <row r="275">
      <c r="L275" s="6"/>
      <c r="M275" s="6"/>
    </row>
    <row r="276">
      <c r="L276" s="6"/>
      <c r="M276" s="6"/>
    </row>
    <row r="277">
      <c r="L277" s="6"/>
      <c r="M277" s="6"/>
    </row>
    <row r="278">
      <c r="L278" s="6"/>
      <c r="M278" s="6"/>
    </row>
    <row r="279">
      <c r="L279" s="6"/>
      <c r="M279" s="6"/>
    </row>
    <row r="280">
      <c r="L280" s="6"/>
      <c r="M280" s="6"/>
    </row>
    <row r="281">
      <c r="L281" s="6"/>
      <c r="M281" s="6"/>
    </row>
    <row r="282">
      <c r="L282" s="6"/>
      <c r="M282" s="6"/>
    </row>
    <row r="283">
      <c r="L283" s="6"/>
      <c r="M283" s="6"/>
    </row>
    <row r="284">
      <c r="L284" s="6"/>
      <c r="M284" s="6"/>
    </row>
    <row r="285">
      <c r="L285" s="6"/>
      <c r="M285" s="6"/>
    </row>
    <row r="286">
      <c r="L286" s="6"/>
      <c r="M286" s="6"/>
    </row>
    <row r="287">
      <c r="L287" s="6"/>
      <c r="M287" s="6"/>
    </row>
    <row r="288">
      <c r="L288" s="6"/>
      <c r="M288" s="6"/>
    </row>
    <row r="289">
      <c r="L289" s="6"/>
      <c r="M289" s="6"/>
    </row>
    <row r="290">
      <c r="L290" s="6"/>
      <c r="M290" s="6"/>
    </row>
    <row r="291">
      <c r="L291" s="6"/>
      <c r="M291" s="6"/>
    </row>
    <row r="292">
      <c r="L292" s="6"/>
      <c r="M292" s="6"/>
    </row>
    <row r="293">
      <c r="L293" s="6"/>
      <c r="M293" s="6"/>
    </row>
    <row r="294">
      <c r="L294" s="6"/>
      <c r="M294" s="6"/>
    </row>
    <row r="295">
      <c r="L295" s="6"/>
      <c r="M295" s="6"/>
    </row>
    <row r="296">
      <c r="L296" s="6"/>
      <c r="M296" s="6"/>
    </row>
    <row r="297">
      <c r="L297" s="6"/>
      <c r="M297" s="6"/>
    </row>
    <row r="298">
      <c r="L298" s="6"/>
      <c r="M298" s="6"/>
    </row>
    <row r="299">
      <c r="L299" s="6"/>
      <c r="M299" s="6"/>
    </row>
    <row r="300">
      <c r="L300" s="6"/>
      <c r="M300" s="6"/>
    </row>
    <row r="301">
      <c r="L301" s="6"/>
      <c r="M301" s="6"/>
    </row>
    <row r="302">
      <c r="L302" s="6"/>
      <c r="M302" s="6"/>
    </row>
    <row r="303">
      <c r="L303" s="6"/>
      <c r="M303" s="6"/>
    </row>
    <row r="304">
      <c r="L304" s="6"/>
      <c r="M304" s="6"/>
    </row>
    <row r="305">
      <c r="L305" s="6"/>
      <c r="M305" s="6"/>
    </row>
    <row r="306">
      <c r="L306" s="6"/>
      <c r="M306" s="6"/>
    </row>
    <row r="307">
      <c r="L307" s="6"/>
      <c r="M307" s="6"/>
    </row>
    <row r="308">
      <c r="L308" s="6"/>
      <c r="M308" s="6"/>
    </row>
    <row r="309">
      <c r="L309" s="6"/>
      <c r="M309" s="6"/>
    </row>
    <row r="310">
      <c r="L310" s="6"/>
      <c r="M310" s="6"/>
    </row>
    <row r="311">
      <c r="L311" s="6"/>
      <c r="M311" s="6"/>
    </row>
    <row r="312">
      <c r="L312" s="6"/>
      <c r="M312" s="6"/>
    </row>
    <row r="313">
      <c r="L313" s="6"/>
      <c r="M313" s="6"/>
    </row>
    <row r="314">
      <c r="L314" s="6"/>
      <c r="M314" s="6"/>
    </row>
    <row r="315">
      <c r="L315" s="6"/>
      <c r="M315" s="6"/>
    </row>
    <row r="316">
      <c r="L316" s="6"/>
      <c r="M316" s="6"/>
    </row>
    <row r="317">
      <c r="L317" s="6"/>
      <c r="M317" s="6"/>
    </row>
    <row r="318">
      <c r="L318" s="6"/>
      <c r="M318" s="6"/>
    </row>
    <row r="319">
      <c r="L319" s="6"/>
      <c r="M319" s="6"/>
    </row>
    <row r="320">
      <c r="L320" s="6"/>
      <c r="M320" s="6"/>
    </row>
    <row r="321">
      <c r="L321" s="6"/>
      <c r="M321" s="6"/>
    </row>
    <row r="322">
      <c r="L322" s="6"/>
      <c r="M322" s="6"/>
    </row>
    <row r="323">
      <c r="L323" s="6"/>
      <c r="M323" s="6"/>
    </row>
    <row r="324">
      <c r="L324" s="6"/>
      <c r="M324" s="6"/>
    </row>
    <row r="325">
      <c r="L325" s="6"/>
      <c r="M325" s="6"/>
    </row>
    <row r="326">
      <c r="L326" s="6"/>
      <c r="M326" s="6"/>
    </row>
    <row r="327">
      <c r="L327" s="6"/>
      <c r="M327" s="6"/>
    </row>
    <row r="328">
      <c r="L328" s="6"/>
      <c r="M328" s="6"/>
    </row>
    <row r="329">
      <c r="L329" s="6"/>
      <c r="M329" s="6"/>
    </row>
    <row r="330">
      <c r="L330" s="6"/>
      <c r="M330" s="6"/>
    </row>
    <row r="331">
      <c r="L331" s="6"/>
      <c r="M331" s="6"/>
    </row>
    <row r="332">
      <c r="L332" s="6"/>
      <c r="M332" s="6"/>
    </row>
    <row r="333">
      <c r="L333" s="6"/>
      <c r="M333" s="6"/>
    </row>
    <row r="334">
      <c r="L334" s="6"/>
      <c r="M334" s="6"/>
    </row>
    <row r="335">
      <c r="L335" s="6"/>
      <c r="M335" s="6"/>
    </row>
    <row r="336">
      <c r="L336" s="6"/>
      <c r="M336" s="6"/>
    </row>
    <row r="337">
      <c r="L337" s="6"/>
      <c r="M337" s="6"/>
    </row>
    <row r="338">
      <c r="L338" s="6"/>
      <c r="M338" s="6"/>
    </row>
    <row r="339">
      <c r="L339" s="6"/>
      <c r="M339" s="6"/>
    </row>
    <row r="340">
      <c r="L340" s="6"/>
      <c r="M340" s="6"/>
    </row>
    <row r="341">
      <c r="L341" s="6"/>
      <c r="M341" s="6"/>
    </row>
    <row r="342">
      <c r="L342" s="6"/>
      <c r="M342" s="6"/>
    </row>
    <row r="343">
      <c r="L343" s="6"/>
      <c r="M343" s="6"/>
    </row>
    <row r="344">
      <c r="L344" s="6"/>
      <c r="M344" s="6"/>
    </row>
    <row r="345">
      <c r="L345" s="6"/>
      <c r="M345" s="6"/>
    </row>
    <row r="346">
      <c r="L346" s="6"/>
      <c r="M346" s="6"/>
    </row>
    <row r="347">
      <c r="L347" s="6"/>
      <c r="M347" s="6"/>
    </row>
    <row r="348">
      <c r="L348" s="6"/>
      <c r="M348" s="6"/>
    </row>
    <row r="349">
      <c r="L349" s="6"/>
      <c r="M349" s="6"/>
    </row>
    <row r="350">
      <c r="L350" s="6"/>
      <c r="M350" s="6"/>
    </row>
    <row r="351">
      <c r="L351" s="6"/>
      <c r="M351" s="6"/>
    </row>
    <row r="352">
      <c r="L352" s="6"/>
      <c r="M352" s="6"/>
    </row>
    <row r="353">
      <c r="L353" s="6"/>
      <c r="M353" s="6"/>
    </row>
    <row r="354">
      <c r="L354" s="6"/>
      <c r="M354" s="6"/>
    </row>
    <row r="355">
      <c r="L355" s="6"/>
      <c r="M355" s="6"/>
    </row>
    <row r="356">
      <c r="L356" s="6"/>
      <c r="M356" s="6"/>
    </row>
    <row r="357">
      <c r="L357" s="6"/>
      <c r="M357" s="6"/>
    </row>
    <row r="358">
      <c r="L358" s="6"/>
      <c r="M358" s="6"/>
    </row>
    <row r="359">
      <c r="L359" s="6"/>
      <c r="M359" s="6"/>
    </row>
    <row r="360">
      <c r="L360" s="6"/>
      <c r="M360" s="6"/>
    </row>
    <row r="361">
      <c r="L361" s="6"/>
      <c r="M361" s="6"/>
    </row>
    <row r="362">
      <c r="L362" s="6"/>
      <c r="M362" s="6"/>
    </row>
    <row r="363">
      <c r="L363" s="6"/>
      <c r="M363" s="6"/>
    </row>
    <row r="364">
      <c r="L364" s="6"/>
      <c r="M364" s="6"/>
    </row>
    <row r="365">
      <c r="L365" s="6"/>
      <c r="M365" s="6"/>
    </row>
    <row r="366">
      <c r="L366" s="6"/>
      <c r="M366" s="6"/>
    </row>
    <row r="367">
      <c r="L367" s="6"/>
      <c r="M367" s="6"/>
    </row>
    <row r="368">
      <c r="L368" s="6"/>
      <c r="M368" s="6"/>
    </row>
    <row r="369">
      <c r="L369" s="6"/>
      <c r="M369" s="6"/>
    </row>
    <row r="370">
      <c r="L370" s="6"/>
      <c r="M370" s="6"/>
    </row>
    <row r="371">
      <c r="L371" s="6"/>
      <c r="M371" s="6"/>
    </row>
    <row r="372">
      <c r="L372" s="6"/>
      <c r="M372" s="6"/>
    </row>
    <row r="373">
      <c r="L373" s="6"/>
      <c r="M373" s="6"/>
    </row>
    <row r="374">
      <c r="L374" s="6"/>
      <c r="M374" s="6"/>
    </row>
    <row r="375">
      <c r="L375" s="6"/>
      <c r="M375" s="6"/>
    </row>
    <row r="376">
      <c r="L376" s="6"/>
      <c r="M376" s="6"/>
    </row>
    <row r="377">
      <c r="L377" s="6"/>
      <c r="M377" s="6"/>
    </row>
    <row r="378">
      <c r="L378" s="6"/>
      <c r="M378" s="6"/>
    </row>
    <row r="379">
      <c r="L379" s="6"/>
      <c r="M379" s="6"/>
    </row>
    <row r="380">
      <c r="L380" s="6"/>
      <c r="M380" s="6"/>
    </row>
    <row r="381">
      <c r="L381" s="6"/>
      <c r="M381" s="6"/>
    </row>
    <row r="382">
      <c r="L382" s="6"/>
      <c r="M382" s="6"/>
    </row>
    <row r="383">
      <c r="L383" s="6"/>
      <c r="M383" s="6"/>
    </row>
    <row r="384">
      <c r="L384" s="6"/>
      <c r="M384" s="6"/>
    </row>
    <row r="385">
      <c r="L385" s="6"/>
      <c r="M385" s="6"/>
    </row>
    <row r="386">
      <c r="L386" s="6"/>
      <c r="M386" s="6"/>
    </row>
    <row r="387">
      <c r="L387" s="6"/>
      <c r="M387" s="6"/>
    </row>
    <row r="388">
      <c r="L388" s="6"/>
      <c r="M388" s="6"/>
    </row>
    <row r="389">
      <c r="L389" s="6"/>
      <c r="M389" s="6"/>
    </row>
    <row r="390">
      <c r="L390" s="6"/>
      <c r="M390" s="6"/>
    </row>
    <row r="391">
      <c r="L391" s="6"/>
      <c r="M391" s="6"/>
    </row>
    <row r="392">
      <c r="L392" s="6"/>
      <c r="M392" s="6"/>
    </row>
    <row r="393">
      <c r="L393" s="6"/>
      <c r="M393" s="6"/>
    </row>
    <row r="394">
      <c r="L394" s="6"/>
      <c r="M394" s="6"/>
    </row>
    <row r="395">
      <c r="L395" s="6"/>
      <c r="M395" s="6"/>
    </row>
    <row r="396">
      <c r="L396" s="6"/>
      <c r="M396" s="6"/>
    </row>
    <row r="397">
      <c r="L397" s="6"/>
      <c r="M397" s="6"/>
    </row>
    <row r="398">
      <c r="L398" s="6"/>
      <c r="M398" s="6"/>
    </row>
    <row r="399">
      <c r="L399" s="6"/>
      <c r="M399" s="6"/>
    </row>
    <row r="400">
      <c r="L400" s="6"/>
      <c r="M400" s="6"/>
    </row>
    <row r="401">
      <c r="L401" s="6"/>
      <c r="M401" s="6"/>
    </row>
    <row r="402">
      <c r="L402" s="6"/>
      <c r="M402" s="6"/>
    </row>
    <row r="403">
      <c r="L403" s="6"/>
      <c r="M403" s="6"/>
    </row>
    <row r="404">
      <c r="L404" s="6"/>
      <c r="M404" s="6"/>
    </row>
    <row r="405">
      <c r="L405" s="6"/>
      <c r="M405" s="6"/>
    </row>
    <row r="406">
      <c r="L406" s="6"/>
      <c r="M406" s="6"/>
    </row>
    <row r="407">
      <c r="L407" s="6"/>
      <c r="M407" s="6"/>
    </row>
    <row r="408">
      <c r="L408" s="6"/>
      <c r="M408" s="6"/>
    </row>
    <row r="409">
      <c r="L409" s="6"/>
      <c r="M409" s="6"/>
    </row>
    <row r="410">
      <c r="L410" s="6"/>
      <c r="M410" s="6"/>
    </row>
    <row r="411">
      <c r="L411" s="6"/>
      <c r="M411" s="6"/>
    </row>
    <row r="412">
      <c r="L412" s="6"/>
      <c r="M412" s="6"/>
    </row>
    <row r="413">
      <c r="L413" s="6"/>
      <c r="M413" s="6"/>
    </row>
    <row r="414">
      <c r="L414" s="6"/>
      <c r="M414" s="6"/>
    </row>
    <row r="415">
      <c r="L415" s="6"/>
      <c r="M415" s="6"/>
    </row>
    <row r="416">
      <c r="L416" s="6"/>
      <c r="M416" s="6"/>
    </row>
    <row r="417">
      <c r="L417" s="6"/>
      <c r="M417" s="6"/>
    </row>
    <row r="418">
      <c r="L418" s="6"/>
      <c r="M418" s="6"/>
    </row>
    <row r="419">
      <c r="L419" s="6"/>
      <c r="M419" s="6"/>
    </row>
    <row r="420">
      <c r="L420" s="6"/>
      <c r="M420" s="6"/>
    </row>
    <row r="421">
      <c r="L421" s="6"/>
      <c r="M421" s="6"/>
    </row>
    <row r="422">
      <c r="L422" s="6"/>
      <c r="M422" s="6"/>
    </row>
    <row r="423">
      <c r="L423" s="6"/>
      <c r="M423" s="6"/>
    </row>
    <row r="424">
      <c r="L424" s="6"/>
      <c r="M424" s="6"/>
    </row>
    <row r="425">
      <c r="L425" s="6"/>
      <c r="M425" s="6"/>
    </row>
    <row r="426">
      <c r="L426" s="6"/>
      <c r="M426" s="6"/>
    </row>
    <row r="427">
      <c r="L427" s="6"/>
      <c r="M427" s="6"/>
    </row>
    <row r="428">
      <c r="L428" s="6"/>
      <c r="M428" s="6"/>
    </row>
    <row r="429">
      <c r="L429" s="6"/>
      <c r="M429" s="6"/>
    </row>
    <row r="430">
      <c r="L430" s="6"/>
      <c r="M430" s="6"/>
    </row>
    <row r="431">
      <c r="L431" s="6"/>
      <c r="M431" s="6"/>
    </row>
    <row r="432">
      <c r="L432" s="6"/>
      <c r="M432" s="6"/>
    </row>
    <row r="433">
      <c r="L433" s="6"/>
      <c r="M433" s="6"/>
    </row>
    <row r="434">
      <c r="L434" s="6"/>
      <c r="M434" s="6"/>
    </row>
    <row r="435">
      <c r="L435" s="6"/>
      <c r="M435" s="6"/>
    </row>
    <row r="436">
      <c r="L436" s="6"/>
      <c r="M436" s="6"/>
    </row>
    <row r="437">
      <c r="L437" s="6"/>
      <c r="M437" s="6"/>
    </row>
    <row r="438">
      <c r="L438" s="6"/>
      <c r="M438" s="6"/>
    </row>
    <row r="439">
      <c r="L439" s="6"/>
      <c r="M439" s="6"/>
    </row>
    <row r="440">
      <c r="L440" s="6"/>
      <c r="M440" s="6"/>
    </row>
    <row r="441">
      <c r="L441" s="6"/>
      <c r="M441" s="6"/>
    </row>
    <row r="442">
      <c r="L442" s="6"/>
      <c r="M442" s="6"/>
    </row>
    <row r="443">
      <c r="L443" s="6"/>
      <c r="M443" s="6"/>
    </row>
    <row r="444">
      <c r="L444" s="6"/>
      <c r="M444" s="6"/>
    </row>
    <row r="445">
      <c r="L445" s="6"/>
      <c r="M445" s="6"/>
    </row>
    <row r="446">
      <c r="L446" s="6"/>
      <c r="M446" s="6"/>
    </row>
    <row r="447">
      <c r="L447" s="6"/>
      <c r="M447" s="6"/>
    </row>
    <row r="448">
      <c r="L448" s="6"/>
      <c r="M448" s="6"/>
    </row>
    <row r="449">
      <c r="L449" s="6"/>
      <c r="M449" s="6"/>
    </row>
    <row r="450">
      <c r="L450" s="6"/>
      <c r="M450" s="6"/>
    </row>
    <row r="451">
      <c r="L451" s="6"/>
      <c r="M451" s="6"/>
    </row>
    <row r="452">
      <c r="L452" s="6"/>
      <c r="M452" s="6"/>
    </row>
    <row r="453">
      <c r="L453" s="6"/>
      <c r="M453" s="6"/>
    </row>
    <row r="454">
      <c r="L454" s="6"/>
      <c r="M454" s="6"/>
    </row>
    <row r="455">
      <c r="L455" s="6"/>
      <c r="M455" s="6"/>
    </row>
    <row r="456">
      <c r="L456" s="6"/>
      <c r="M456" s="6"/>
    </row>
    <row r="457">
      <c r="L457" s="6"/>
      <c r="M457" s="6"/>
    </row>
    <row r="458">
      <c r="L458" s="6"/>
      <c r="M458" s="6"/>
    </row>
    <row r="459">
      <c r="L459" s="6"/>
      <c r="M459" s="6"/>
    </row>
    <row r="460">
      <c r="L460" s="6"/>
      <c r="M460" s="6"/>
    </row>
    <row r="461">
      <c r="L461" s="6"/>
      <c r="M461" s="6"/>
    </row>
    <row r="462">
      <c r="L462" s="6"/>
      <c r="M462" s="6"/>
    </row>
    <row r="463">
      <c r="L463" s="6"/>
      <c r="M463" s="6"/>
    </row>
    <row r="464">
      <c r="L464" s="6"/>
      <c r="M464" s="6"/>
    </row>
    <row r="465">
      <c r="L465" s="6"/>
      <c r="M465" s="6"/>
    </row>
    <row r="466">
      <c r="L466" s="6"/>
      <c r="M466" s="6"/>
    </row>
    <row r="467">
      <c r="L467" s="6"/>
      <c r="M467" s="6"/>
    </row>
    <row r="468">
      <c r="L468" s="6"/>
      <c r="M468" s="6"/>
    </row>
    <row r="469">
      <c r="L469" s="6"/>
      <c r="M469" s="6"/>
    </row>
    <row r="470">
      <c r="L470" s="6"/>
      <c r="M470" s="6"/>
    </row>
    <row r="471">
      <c r="L471" s="6"/>
      <c r="M471" s="6"/>
    </row>
    <row r="472">
      <c r="L472" s="6"/>
      <c r="M472" s="6"/>
    </row>
    <row r="473">
      <c r="L473" s="6"/>
      <c r="M473" s="6"/>
    </row>
    <row r="474">
      <c r="L474" s="6"/>
      <c r="M474" s="6"/>
    </row>
    <row r="475">
      <c r="L475" s="6"/>
      <c r="M475" s="6"/>
    </row>
    <row r="476">
      <c r="L476" s="6"/>
      <c r="M476" s="6"/>
    </row>
    <row r="477">
      <c r="L477" s="6"/>
      <c r="M477" s="6"/>
    </row>
    <row r="478">
      <c r="L478" s="6"/>
      <c r="M478" s="6"/>
    </row>
    <row r="479">
      <c r="L479" s="6"/>
      <c r="M479" s="6"/>
    </row>
    <row r="480">
      <c r="L480" s="6"/>
      <c r="M480" s="6"/>
    </row>
    <row r="481">
      <c r="L481" s="6"/>
      <c r="M481" s="6"/>
    </row>
    <row r="482">
      <c r="L482" s="6"/>
      <c r="M482" s="6"/>
    </row>
    <row r="483">
      <c r="L483" s="6"/>
      <c r="M483" s="6"/>
    </row>
    <row r="484">
      <c r="L484" s="6"/>
      <c r="M484" s="6"/>
    </row>
    <row r="485">
      <c r="L485" s="6"/>
      <c r="M485" s="6"/>
    </row>
    <row r="486">
      <c r="L486" s="6"/>
      <c r="M486" s="6"/>
    </row>
    <row r="487">
      <c r="L487" s="6"/>
      <c r="M487" s="6"/>
    </row>
    <row r="488">
      <c r="L488" s="6"/>
      <c r="M488" s="6"/>
    </row>
    <row r="489">
      <c r="L489" s="6"/>
      <c r="M489" s="6"/>
    </row>
    <row r="490">
      <c r="L490" s="6"/>
      <c r="M490" s="6"/>
    </row>
    <row r="491">
      <c r="L491" s="6"/>
      <c r="M491" s="6"/>
    </row>
    <row r="492">
      <c r="L492" s="6"/>
      <c r="M492" s="6"/>
    </row>
    <row r="493">
      <c r="L493" s="6"/>
      <c r="M493" s="6"/>
    </row>
    <row r="494">
      <c r="L494" s="6"/>
      <c r="M494" s="6"/>
    </row>
    <row r="495">
      <c r="L495" s="6"/>
      <c r="M495" s="6"/>
    </row>
    <row r="496">
      <c r="L496" s="6"/>
      <c r="M496" s="6"/>
    </row>
    <row r="497">
      <c r="L497" s="6"/>
      <c r="M497" s="6"/>
    </row>
    <row r="498">
      <c r="L498" s="6"/>
      <c r="M498" s="6"/>
    </row>
    <row r="499">
      <c r="L499" s="6"/>
      <c r="M499" s="6"/>
    </row>
    <row r="500">
      <c r="L500" s="6"/>
      <c r="M500" s="6"/>
    </row>
    <row r="501">
      <c r="L501" s="6"/>
      <c r="M501" s="6"/>
    </row>
    <row r="502">
      <c r="L502" s="6"/>
      <c r="M502" s="6"/>
    </row>
    <row r="503">
      <c r="L503" s="6"/>
      <c r="M503" s="6"/>
    </row>
    <row r="504">
      <c r="L504" s="6"/>
      <c r="M504" s="6"/>
    </row>
    <row r="505">
      <c r="L505" s="6"/>
      <c r="M505" s="6"/>
    </row>
    <row r="506">
      <c r="L506" s="6"/>
      <c r="M506" s="6"/>
    </row>
    <row r="507">
      <c r="L507" s="6"/>
      <c r="M507" s="6"/>
    </row>
    <row r="508">
      <c r="L508" s="6"/>
      <c r="M508" s="6"/>
    </row>
    <row r="509">
      <c r="L509" s="6"/>
      <c r="M509" s="6"/>
    </row>
    <row r="510">
      <c r="L510" s="6"/>
      <c r="M510" s="6"/>
    </row>
    <row r="511">
      <c r="L511" s="6"/>
      <c r="M511" s="6"/>
    </row>
    <row r="512">
      <c r="L512" s="6"/>
      <c r="M512" s="6"/>
    </row>
    <row r="513">
      <c r="L513" s="6"/>
      <c r="M513" s="6"/>
    </row>
    <row r="514">
      <c r="L514" s="6"/>
      <c r="M514" s="6"/>
    </row>
    <row r="515">
      <c r="L515" s="6"/>
      <c r="M515" s="6"/>
    </row>
    <row r="516">
      <c r="L516" s="6"/>
      <c r="M516" s="6"/>
    </row>
    <row r="517">
      <c r="L517" s="6"/>
      <c r="M517" s="6"/>
    </row>
    <row r="518">
      <c r="L518" s="6"/>
      <c r="M518" s="6"/>
    </row>
    <row r="519">
      <c r="L519" s="6"/>
      <c r="M519" s="6"/>
    </row>
    <row r="520">
      <c r="L520" s="6"/>
      <c r="M520" s="6"/>
    </row>
    <row r="521">
      <c r="L521" s="6"/>
      <c r="M521" s="6"/>
    </row>
    <row r="522">
      <c r="L522" s="6"/>
      <c r="M522" s="6"/>
    </row>
    <row r="523">
      <c r="L523" s="6"/>
      <c r="M523" s="6"/>
    </row>
    <row r="524">
      <c r="L524" s="6"/>
      <c r="M524" s="6"/>
    </row>
    <row r="525">
      <c r="L525" s="6"/>
      <c r="M525" s="6"/>
    </row>
    <row r="526">
      <c r="L526" s="6"/>
      <c r="M526" s="6"/>
    </row>
    <row r="527">
      <c r="L527" s="6"/>
      <c r="M527" s="6"/>
    </row>
    <row r="528">
      <c r="L528" s="6"/>
      <c r="M528" s="6"/>
    </row>
    <row r="529">
      <c r="L529" s="6"/>
      <c r="M529" s="6"/>
    </row>
    <row r="530">
      <c r="L530" s="6"/>
      <c r="M530" s="6"/>
    </row>
    <row r="531">
      <c r="L531" s="6"/>
      <c r="M531" s="6"/>
    </row>
    <row r="532">
      <c r="L532" s="6"/>
      <c r="M532" s="6"/>
    </row>
    <row r="533">
      <c r="L533" s="6"/>
      <c r="M533" s="6"/>
    </row>
    <row r="534">
      <c r="L534" s="6"/>
      <c r="M534" s="6"/>
    </row>
    <row r="535">
      <c r="L535" s="6"/>
      <c r="M535" s="6"/>
    </row>
    <row r="536">
      <c r="L536" s="6"/>
      <c r="M536" s="6"/>
    </row>
    <row r="537">
      <c r="L537" s="6"/>
      <c r="M537" s="6"/>
    </row>
    <row r="538">
      <c r="L538" s="6"/>
      <c r="M538" s="6"/>
    </row>
    <row r="539">
      <c r="L539" s="6"/>
      <c r="M539" s="6"/>
    </row>
    <row r="540">
      <c r="L540" s="6"/>
      <c r="M540" s="6"/>
    </row>
    <row r="541">
      <c r="L541" s="6"/>
      <c r="M541" s="6"/>
    </row>
    <row r="542">
      <c r="L542" s="6"/>
      <c r="M542" s="6"/>
    </row>
    <row r="543">
      <c r="L543" s="6"/>
      <c r="M543" s="6"/>
    </row>
    <row r="544">
      <c r="L544" s="6"/>
      <c r="M544" s="6"/>
    </row>
    <row r="545">
      <c r="L545" s="6"/>
      <c r="M545" s="6"/>
    </row>
    <row r="546">
      <c r="L546" s="6"/>
      <c r="M546" s="6"/>
    </row>
    <row r="547">
      <c r="L547" s="6"/>
      <c r="M547" s="6"/>
    </row>
    <row r="548">
      <c r="L548" s="6"/>
      <c r="M548" s="6"/>
    </row>
    <row r="549">
      <c r="L549" s="6"/>
      <c r="M549" s="6"/>
    </row>
    <row r="550">
      <c r="L550" s="6"/>
      <c r="M550" s="6"/>
    </row>
    <row r="551">
      <c r="L551" s="6"/>
      <c r="M551" s="6"/>
    </row>
    <row r="552">
      <c r="L552" s="6"/>
      <c r="M552" s="6"/>
    </row>
    <row r="553">
      <c r="L553" s="6"/>
      <c r="M553" s="6"/>
    </row>
    <row r="554">
      <c r="L554" s="6"/>
      <c r="M554" s="6"/>
    </row>
    <row r="555">
      <c r="L555" s="6"/>
      <c r="M555" s="6"/>
    </row>
    <row r="556">
      <c r="L556" s="6"/>
      <c r="M556" s="6"/>
    </row>
    <row r="557">
      <c r="L557" s="6"/>
      <c r="M557" s="6"/>
    </row>
    <row r="558">
      <c r="L558" s="6"/>
      <c r="M558" s="6"/>
    </row>
    <row r="559">
      <c r="L559" s="6"/>
      <c r="M559" s="6"/>
    </row>
    <row r="560">
      <c r="L560" s="6"/>
      <c r="M560" s="6"/>
    </row>
    <row r="561">
      <c r="L561" s="6"/>
      <c r="M561" s="6"/>
    </row>
    <row r="562">
      <c r="L562" s="6"/>
      <c r="M562" s="6"/>
    </row>
    <row r="563">
      <c r="L563" s="6"/>
      <c r="M563" s="6"/>
    </row>
    <row r="564">
      <c r="L564" s="6"/>
      <c r="M564" s="6"/>
    </row>
    <row r="565">
      <c r="L565" s="6"/>
      <c r="M565" s="6"/>
    </row>
    <row r="566">
      <c r="L566" s="6"/>
      <c r="M566" s="6"/>
    </row>
    <row r="567">
      <c r="L567" s="6"/>
      <c r="M567" s="6"/>
    </row>
    <row r="568">
      <c r="L568" s="6"/>
      <c r="M568" s="6"/>
    </row>
    <row r="569">
      <c r="L569" s="6"/>
      <c r="M569" s="6"/>
    </row>
    <row r="570">
      <c r="L570" s="6"/>
      <c r="M570" s="6"/>
    </row>
    <row r="571">
      <c r="L571" s="6"/>
      <c r="M571" s="6"/>
    </row>
    <row r="572">
      <c r="L572" s="6"/>
      <c r="M572" s="6"/>
    </row>
    <row r="573">
      <c r="L573" s="6"/>
      <c r="M573" s="6"/>
    </row>
    <row r="574">
      <c r="L574" s="6"/>
      <c r="M574" s="6"/>
    </row>
    <row r="575">
      <c r="L575" s="6"/>
      <c r="M575" s="6"/>
    </row>
    <row r="576">
      <c r="L576" s="6"/>
      <c r="M576" s="6"/>
    </row>
    <row r="577">
      <c r="L577" s="6"/>
      <c r="M577" s="6"/>
    </row>
    <row r="578">
      <c r="L578" s="6"/>
      <c r="M578" s="6"/>
    </row>
    <row r="579">
      <c r="L579" s="6"/>
      <c r="M579" s="6"/>
    </row>
    <row r="580">
      <c r="L580" s="6"/>
      <c r="M580" s="6"/>
    </row>
    <row r="581">
      <c r="L581" s="6"/>
      <c r="M581" s="6"/>
    </row>
    <row r="582">
      <c r="L582" s="6"/>
      <c r="M582" s="6"/>
    </row>
    <row r="583">
      <c r="L583" s="6"/>
      <c r="M583" s="6"/>
    </row>
    <row r="584">
      <c r="L584" s="6"/>
      <c r="M584" s="6"/>
    </row>
    <row r="585">
      <c r="L585" s="6"/>
      <c r="M585" s="6"/>
    </row>
    <row r="586">
      <c r="L586" s="6"/>
      <c r="M586" s="6"/>
    </row>
    <row r="587">
      <c r="L587" s="6"/>
      <c r="M587" s="6"/>
    </row>
    <row r="588">
      <c r="L588" s="6"/>
      <c r="M588" s="6"/>
    </row>
    <row r="589">
      <c r="L589" s="6"/>
      <c r="M589" s="6"/>
    </row>
    <row r="590">
      <c r="L590" s="6"/>
      <c r="M590" s="6"/>
    </row>
    <row r="591">
      <c r="L591" s="6"/>
      <c r="M591" s="6"/>
    </row>
    <row r="592">
      <c r="L592" s="6"/>
      <c r="M592" s="6"/>
    </row>
    <row r="593">
      <c r="L593" s="6"/>
      <c r="M593" s="6"/>
    </row>
    <row r="594">
      <c r="L594" s="6"/>
      <c r="M594" s="6"/>
    </row>
    <row r="595">
      <c r="L595" s="6"/>
      <c r="M595" s="6"/>
    </row>
    <row r="596">
      <c r="L596" s="6"/>
      <c r="M596" s="6"/>
    </row>
    <row r="597">
      <c r="L597" s="6"/>
      <c r="M597" s="6"/>
    </row>
    <row r="598">
      <c r="L598" s="6"/>
      <c r="M598" s="6"/>
    </row>
    <row r="599">
      <c r="L599" s="6"/>
      <c r="M599" s="6"/>
    </row>
    <row r="600">
      <c r="L600" s="6"/>
      <c r="M600" s="6"/>
    </row>
    <row r="601">
      <c r="L601" s="6"/>
      <c r="M601" s="6"/>
    </row>
    <row r="602">
      <c r="L602" s="6"/>
      <c r="M602" s="6"/>
    </row>
    <row r="603">
      <c r="L603" s="6"/>
      <c r="M603" s="6"/>
    </row>
    <row r="604">
      <c r="L604" s="6"/>
      <c r="M604" s="6"/>
    </row>
    <row r="605">
      <c r="L605" s="6"/>
      <c r="M605" s="6"/>
    </row>
    <row r="606">
      <c r="L606" s="6"/>
      <c r="M606" s="6"/>
    </row>
    <row r="607">
      <c r="L607" s="6"/>
      <c r="M607" s="6"/>
    </row>
    <row r="608">
      <c r="L608" s="6"/>
      <c r="M608" s="6"/>
    </row>
    <row r="609">
      <c r="L609" s="6"/>
      <c r="M609" s="6"/>
    </row>
    <row r="610">
      <c r="L610" s="6"/>
      <c r="M610" s="6"/>
    </row>
    <row r="611">
      <c r="L611" s="6"/>
      <c r="M611" s="6"/>
    </row>
    <row r="612">
      <c r="L612" s="6"/>
      <c r="M612" s="6"/>
    </row>
    <row r="613">
      <c r="L613" s="6"/>
      <c r="M613" s="6"/>
    </row>
    <row r="614">
      <c r="L614" s="6"/>
      <c r="M614" s="6"/>
    </row>
    <row r="615">
      <c r="L615" s="6"/>
      <c r="M615" s="6"/>
    </row>
    <row r="616">
      <c r="L616" s="6"/>
      <c r="M616" s="6"/>
    </row>
    <row r="617">
      <c r="L617" s="6"/>
      <c r="M617" s="6"/>
    </row>
    <row r="618">
      <c r="L618" s="6"/>
      <c r="M618" s="6"/>
    </row>
    <row r="619">
      <c r="L619" s="6"/>
      <c r="M619" s="6"/>
    </row>
    <row r="620">
      <c r="L620" s="6"/>
      <c r="M620" s="6"/>
    </row>
    <row r="621">
      <c r="L621" s="6"/>
      <c r="M621" s="6"/>
    </row>
    <row r="622">
      <c r="L622" s="6"/>
      <c r="M622" s="6"/>
    </row>
    <row r="623">
      <c r="L623" s="6"/>
      <c r="M623" s="6"/>
    </row>
    <row r="624">
      <c r="L624" s="6"/>
      <c r="M624" s="6"/>
    </row>
    <row r="625">
      <c r="L625" s="6"/>
      <c r="M625" s="6"/>
    </row>
    <row r="626">
      <c r="L626" s="6"/>
      <c r="M626" s="6"/>
    </row>
    <row r="627">
      <c r="L627" s="6"/>
      <c r="M627" s="6"/>
    </row>
    <row r="628">
      <c r="L628" s="6"/>
      <c r="M628" s="6"/>
    </row>
    <row r="629">
      <c r="L629" s="6"/>
      <c r="M629" s="6"/>
    </row>
    <row r="630">
      <c r="L630" s="6"/>
      <c r="M630" s="6"/>
    </row>
    <row r="631">
      <c r="L631" s="6"/>
      <c r="M631" s="6"/>
    </row>
    <row r="632">
      <c r="L632" s="6"/>
      <c r="M632" s="6"/>
    </row>
    <row r="633">
      <c r="L633" s="6"/>
      <c r="M633" s="6"/>
    </row>
    <row r="634">
      <c r="L634" s="6"/>
      <c r="M634" s="6"/>
    </row>
    <row r="635">
      <c r="L635" s="6"/>
      <c r="M635" s="6"/>
    </row>
    <row r="636">
      <c r="L636" s="6"/>
      <c r="M636" s="6"/>
    </row>
    <row r="637">
      <c r="L637" s="6"/>
      <c r="M637" s="6"/>
    </row>
    <row r="638">
      <c r="L638" s="6"/>
      <c r="M638" s="6"/>
    </row>
    <row r="639">
      <c r="L639" s="6"/>
      <c r="M639" s="6"/>
    </row>
    <row r="640">
      <c r="L640" s="6"/>
      <c r="M640" s="6"/>
    </row>
    <row r="641">
      <c r="L641" s="6"/>
      <c r="M641" s="6"/>
    </row>
    <row r="642">
      <c r="L642" s="6"/>
      <c r="M642" s="6"/>
    </row>
    <row r="643">
      <c r="L643" s="6"/>
      <c r="M643" s="6"/>
    </row>
    <row r="644">
      <c r="L644" s="6"/>
      <c r="M644" s="6"/>
    </row>
    <row r="645">
      <c r="L645" s="6"/>
      <c r="M645" s="6"/>
    </row>
    <row r="646">
      <c r="L646" s="6"/>
      <c r="M646" s="6"/>
    </row>
    <row r="647">
      <c r="L647" s="6"/>
      <c r="M647" s="6"/>
    </row>
    <row r="648">
      <c r="L648" s="6"/>
      <c r="M648" s="6"/>
    </row>
    <row r="649">
      <c r="L649" s="6"/>
      <c r="M649" s="6"/>
    </row>
    <row r="650">
      <c r="L650" s="6"/>
      <c r="M650" s="6"/>
    </row>
    <row r="651">
      <c r="L651" s="6"/>
      <c r="M651" s="6"/>
    </row>
    <row r="652">
      <c r="L652" s="6"/>
      <c r="M652" s="6"/>
    </row>
    <row r="653">
      <c r="L653" s="6"/>
      <c r="M653" s="6"/>
    </row>
    <row r="654">
      <c r="L654" s="6"/>
      <c r="M654" s="6"/>
    </row>
    <row r="655">
      <c r="L655" s="6"/>
      <c r="M655" s="6"/>
    </row>
    <row r="656">
      <c r="L656" s="6"/>
      <c r="M656" s="6"/>
    </row>
    <row r="657">
      <c r="L657" s="6"/>
      <c r="M657" s="6"/>
    </row>
    <row r="658">
      <c r="L658" s="6"/>
      <c r="M658" s="6"/>
    </row>
    <row r="659">
      <c r="L659" s="6"/>
      <c r="M659" s="6"/>
    </row>
    <row r="660">
      <c r="L660" s="6"/>
      <c r="M660" s="6"/>
    </row>
    <row r="661">
      <c r="L661" s="6"/>
      <c r="M661" s="6"/>
    </row>
    <row r="662">
      <c r="L662" s="6"/>
      <c r="M662" s="6"/>
    </row>
    <row r="663">
      <c r="L663" s="6"/>
      <c r="M663" s="6"/>
    </row>
    <row r="664">
      <c r="L664" s="6"/>
      <c r="M664" s="6"/>
    </row>
    <row r="665">
      <c r="L665" s="6"/>
      <c r="M665" s="6"/>
    </row>
    <row r="666">
      <c r="L666" s="6"/>
      <c r="M666" s="6"/>
    </row>
    <row r="667">
      <c r="L667" s="6"/>
      <c r="M667" s="6"/>
    </row>
    <row r="668">
      <c r="L668" s="6"/>
      <c r="M668" s="6"/>
    </row>
    <row r="669">
      <c r="L669" s="6"/>
      <c r="M669" s="6"/>
    </row>
    <row r="670">
      <c r="L670" s="6"/>
      <c r="M670" s="6"/>
    </row>
    <row r="671">
      <c r="L671" s="6"/>
      <c r="M671" s="6"/>
    </row>
    <row r="672">
      <c r="L672" s="6"/>
      <c r="M672" s="6"/>
    </row>
    <row r="673">
      <c r="L673" s="6"/>
      <c r="M673" s="6"/>
    </row>
    <row r="674">
      <c r="L674" s="6"/>
      <c r="M674" s="6"/>
    </row>
    <row r="675">
      <c r="L675" s="6"/>
      <c r="M675" s="6"/>
    </row>
    <row r="676">
      <c r="L676" s="6"/>
      <c r="M676" s="6"/>
    </row>
    <row r="677">
      <c r="L677" s="6"/>
      <c r="M677" s="6"/>
    </row>
    <row r="678">
      <c r="L678" s="6"/>
      <c r="M678" s="6"/>
    </row>
    <row r="679">
      <c r="L679" s="6"/>
      <c r="M679" s="6"/>
    </row>
    <row r="680">
      <c r="L680" s="6"/>
      <c r="M680" s="6"/>
    </row>
    <row r="681">
      <c r="L681" s="6"/>
      <c r="M681" s="6"/>
    </row>
    <row r="682">
      <c r="L682" s="6"/>
      <c r="M682" s="6"/>
    </row>
    <row r="683">
      <c r="L683" s="6"/>
      <c r="M683" s="6"/>
    </row>
    <row r="684">
      <c r="L684" s="6"/>
      <c r="M684" s="6"/>
    </row>
    <row r="685">
      <c r="L685" s="6"/>
      <c r="M685" s="6"/>
    </row>
    <row r="686">
      <c r="L686" s="6"/>
      <c r="M686" s="6"/>
    </row>
    <row r="687">
      <c r="L687" s="6"/>
      <c r="M687" s="6"/>
    </row>
    <row r="688">
      <c r="L688" s="6"/>
      <c r="M688" s="6"/>
    </row>
    <row r="689">
      <c r="L689" s="6"/>
      <c r="M689" s="6"/>
    </row>
    <row r="690">
      <c r="L690" s="6"/>
      <c r="M690" s="6"/>
    </row>
    <row r="691">
      <c r="L691" s="6"/>
      <c r="M691" s="6"/>
    </row>
    <row r="692">
      <c r="L692" s="6"/>
      <c r="M692" s="6"/>
    </row>
    <row r="693">
      <c r="L693" s="6"/>
      <c r="M693" s="6"/>
    </row>
    <row r="694">
      <c r="L694" s="6"/>
      <c r="M694" s="6"/>
    </row>
    <row r="695">
      <c r="L695" s="6"/>
      <c r="M695" s="6"/>
    </row>
    <row r="696">
      <c r="L696" s="6"/>
      <c r="M696" s="6"/>
    </row>
    <row r="697">
      <c r="L697" s="6"/>
      <c r="M697" s="6"/>
    </row>
    <row r="698">
      <c r="L698" s="6"/>
      <c r="M698" s="6"/>
    </row>
    <row r="699">
      <c r="L699" s="6"/>
      <c r="M699" s="6"/>
    </row>
    <row r="700">
      <c r="L700" s="6"/>
      <c r="M700" s="6"/>
    </row>
    <row r="701">
      <c r="L701" s="6"/>
      <c r="M701" s="6"/>
    </row>
    <row r="702">
      <c r="L702" s="6"/>
      <c r="M702" s="6"/>
    </row>
    <row r="703">
      <c r="L703" s="6"/>
      <c r="M703" s="6"/>
    </row>
    <row r="704">
      <c r="L704" s="6"/>
      <c r="M704" s="6"/>
    </row>
    <row r="705">
      <c r="L705" s="6"/>
      <c r="M705" s="6"/>
    </row>
    <row r="706">
      <c r="L706" s="6"/>
      <c r="M706" s="6"/>
    </row>
    <row r="707">
      <c r="L707" s="6"/>
      <c r="M707" s="6"/>
    </row>
    <row r="708">
      <c r="L708" s="6"/>
      <c r="M708" s="6"/>
    </row>
    <row r="709">
      <c r="L709" s="6"/>
      <c r="M709" s="6"/>
    </row>
    <row r="710">
      <c r="L710" s="6"/>
      <c r="M710" s="6"/>
    </row>
    <row r="711">
      <c r="L711" s="6"/>
      <c r="M711" s="6"/>
    </row>
    <row r="712">
      <c r="L712" s="6"/>
      <c r="M712" s="6"/>
    </row>
    <row r="713">
      <c r="L713" s="6"/>
      <c r="M713" s="6"/>
    </row>
    <row r="714">
      <c r="L714" s="6"/>
      <c r="M714" s="6"/>
    </row>
    <row r="715">
      <c r="L715" s="6"/>
      <c r="M715" s="6"/>
    </row>
    <row r="716">
      <c r="L716" s="6"/>
      <c r="M716" s="6"/>
    </row>
    <row r="717">
      <c r="L717" s="6"/>
      <c r="M717" s="6"/>
    </row>
    <row r="718">
      <c r="L718" s="6"/>
      <c r="M718" s="6"/>
    </row>
    <row r="719">
      <c r="L719" s="6"/>
      <c r="M719" s="6"/>
    </row>
    <row r="720">
      <c r="L720" s="6"/>
      <c r="M720" s="6"/>
    </row>
    <row r="721">
      <c r="L721" s="6"/>
      <c r="M721" s="6"/>
    </row>
    <row r="722">
      <c r="L722" s="6"/>
      <c r="M722" s="6"/>
    </row>
    <row r="723">
      <c r="L723" s="6"/>
      <c r="M723" s="6"/>
    </row>
    <row r="724">
      <c r="L724" s="6"/>
      <c r="M724" s="6"/>
    </row>
    <row r="725">
      <c r="L725" s="6"/>
      <c r="M725" s="6"/>
    </row>
    <row r="726">
      <c r="L726" s="6"/>
      <c r="M726" s="6"/>
    </row>
    <row r="727">
      <c r="L727" s="6"/>
      <c r="M727" s="6"/>
    </row>
    <row r="728">
      <c r="L728" s="6"/>
      <c r="M728" s="6"/>
    </row>
    <row r="729">
      <c r="L729" s="6"/>
      <c r="M729" s="6"/>
    </row>
    <row r="730">
      <c r="L730" s="6"/>
      <c r="M730" s="6"/>
    </row>
    <row r="731">
      <c r="L731" s="6"/>
      <c r="M731" s="6"/>
    </row>
    <row r="732">
      <c r="L732" s="6"/>
      <c r="M732" s="6"/>
    </row>
    <row r="733">
      <c r="L733" s="6"/>
      <c r="M733" s="6"/>
    </row>
    <row r="734">
      <c r="L734" s="6"/>
      <c r="M734" s="6"/>
    </row>
    <row r="735">
      <c r="L735" s="6"/>
      <c r="M735" s="6"/>
    </row>
    <row r="736">
      <c r="L736" s="6"/>
      <c r="M736" s="6"/>
    </row>
    <row r="737">
      <c r="L737" s="6"/>
      <c r="M737" s="6"/>
    </row>
    <row r="738">
      <c r="L738" s="6"/>
      <c r="M738" s="6"/>
    </row>
    <row r="739">
      <c r="L739" s="6"/>
      <c r="M739" s="6"/>
    </row>
    <row r="740">
      <c r="L740" s="6"/>
      <c r="M740" s="6"/>
    </row>
    <row r="741">
      <c r="L741" s="6"/>
      <c r="M741" s="6"/>
    </row>
    <row r="742">
      <c r="L742" s="6"/>
      <c r="M742" s="6"/>
    </row>
    <row r="743">
      <c r="L743" s="6"/>
      <c r="M743" s="6"/>
    </row>
    <row r="744">
      <c r="L744" s="6"/>
      <c r="M744" s="6"/>
    </row>
    <row r="745">
      <c r="L745" s="6"/>
      <c r="M745" s="6"/>
    </row>
    <row r="746">
      <c r="L746" s="6"/>
      <c r="M746" s="6"/>
    </row>
    <row r="747">
      <c r="L747" s="6"/>
      <c r="M747" s="6"/>
    </row>
    <row r="748">
      <c r="L748" s="6"/>
      <c r="M748" s="6"/>
    </row>
    <row r="749">
      <c r="L749" s="6"/>
      <c r="M749" s="6"/>
    </row>
    <row r="750">
      <c r="L750" s="6"/>
      <c r="M750" s="6"/>
    </row>
    <row r="751">
      <c r="L751" s="6"/>
      <c r="M751" s="6"/>
    </row>
    <row r="752">
      <c r="L752" s="6"/>
      <c r="M752" s="6"/>
    </row>
    <row r="753">
      <c r="L753" s="6"/>
      <c r="M753" s="6"/>
    </row>
    <row r="754">
      <c r="L754" s="6"/>
      <c r="M754" s="6"/>
    </row>
    <row r="755">
      <c r="L755" s="6"/>
      <c r="M755" s="6"/>
    </row>
    <row r="756">
      <c r="L756" s="6"/>
      <c r="M756" s="6"/>
    </row>
    <row r="757">
      <c r="L757" s="6"/>
      <c r="M757" s="6"/>
    </row>
    <row r="758">
      <c r="L758" s="6"/>
      <c r="M758" s="6"/>
    </row>
    <row r="759">
      <c r="L759" s="6"/>
      <c r="M759" s="6"/>
    </row>
    <row r="760">
      <c r="L760" s="6"/>
      <c r="M760" s="6"/>
    </row>
    <row r="761">
      <c r="L761" s="6"/>
      <c r="M761" s="6"/>
    </row>
    <row r="762">
      <c r="L762" s="6"/>
      <c r="M762" s="6"/>
    </row>
    <row r="763">
      <c r="L763" s="6"/>
      <c r="M763" s="6"/>
    </row>
    <row r="764">
      <c r="L764" s="6"/>
      <c r="M764" s="6"/>
    </row>
    <row r="765">
      <c r="L765" s="6"/>
      <c r="M765" s="6"/>
    </row>
    <row r="766">
      <c r="L766" s="6"/>
      <c r="M766" s="6"/>
    </row>
    <row r="767">
      <c r="L767" s="6"/>
      <c r="M767" s="6"/>
    </row>
    <row r="768">
      <c r="L768" s="6"/>
      <c r="M768" s="6"/>
    </row>
    <row r="769">
      <c r="L769" s="6"/>
      <c r="M769" s="6"/>
    </row>
    <row r="770">
      <c r="L770" s="6"/>
      <c r="M770" s="6"/>
    </row>
    <row r="771">
      <c r="L771" s="6"/>
      <c r="M771" s="6"/>
    </row>
    <row r="772">
      <c r="L772" s="6"/>
      <c r="M772" s="6"/>
    </row>
    <row r="773">
      <c r="L773" s="6"/>
      <c r="M773" s="6"/>
    </row>
    <row r="774">
      <c r="L774" s="6"/>
      <c r="M774" s="6"/>
    </row>
    <row r="775">
      <c r="L775" s="6"/>
      <c r="M775" s="6"/>
    </row>
    <row r="776">
      <c r="L776" s="6"/>
      <c r="M776" s="6"/>
    </row>
    <row r="777">
      <c r="L777" s="6"/>
      <c r="M777" s="6"/>
    </row>
    <row r="778">
      <c r="L778" s="6"/>
      <c r="M778" s="6"/>
    </row>
    <row r="779">
      <c r="L779" s="6"/>
      <c r="M779" s="6"/>
    </row>
    <row r="780">
      <c r="L780" s="6"/>
      <c r="M780" s="6"/>
    </row>
    <row r="781">
      <c r="L781" s="6"/>
      <c r="M781" s="6"/>
    </row>
    <row r="782">
      <c r="L782" s="6"/>
      <c r="M782" s="6"/>
    </row>
    <row r="783">
      <c r="L783" s="6"/>
      <c r="M783" s="6"/>
    </row>
    <row r="784">
      <c r="L784" s="6"/>
      <c r="M784" s="6"/>
    </row>
    <row r="785">
      <c r="L785" s="6"/>
      <c r="M785" s="6"/>
    </row>
    <row r="786">
      <c r="L786" s="6"/>
      <c r="M786" s="6"/>
    </row>
    <row r="787">
      <c r="L787" s="6"/>
      <c r="M787" s="6"/>
    </row>
    <row r="788">
      <c r="L788" s="6"/>
      <c r="M788" s="6"/>
    </row>
    <row r="789">
      <c r="L789" s="6"/>
      <c r="M789" s="6"/>
    </row>
    <row r="790">
      <c r="L790" s="6"/>
      <c r="M790" s="6"/>
    </row>
    <row r="791">
      <c r="L791" s="6"/>
      <c r="M791" s="6"/>
    </row>
    <row r="792">
      <c r="L792" s="6"/>
      <c r="M792" s="6"/>
    </row>
    <row r="793">
      <c r="L793" s="6"/>
      <c r="M793" s="6"/>
    </row>
    <row r="794">
      <c r="L794" s="6"/>
      <c r="M794" s="6"/>
    </row>
    <row r="795">
      <c r="L795" s="6"/>
      <c r="M795" s="6"/>
    </row>
    <row r="796">
      <c r="L796" s="6"/>
      <c r="M796" s="6"/>
    </row>
    <row r="797">
      <c r="L797" s="6"/>
      <c r="M797" s="6"/>
    </row>
    <row r="798">
      <c r="L798" s="6"/>
      <c r="M798" s="6"/>
    </row>
    <row r="799">
      <c r="L799" s="6"/>
      <c r="M799" s="6"/>
    </row>
    <row r="800">
      <c r="L800" s="6"/>
      <c r="M800" s="6"/>
    </row>
    <row r="801">
      <c r="L801" s="6"/>
      <c r="M801" s="6"/>
    </row>
    <row r="802">
      <c r="L802" s="6"/>
      <c r="M802" s="6"/>
    </row>
    <row r="803">
      <c r="L803" s="6"/>
      <c r="M803" s="6"/>
    </row>
    <row r="804">
      <c r="L804" s="6"/>
      <c r="M804" s="6"/>
    </row>
    <row r="805">
      <c r="L805" s="6"/>
      <c r="M805" s="6"/>
    </row>
    <row r="806">
      <c r="L806" s="6"/>
      <c r="M806" s="6"/>
    </row>
    <row r="807">
      <c r="L807" s="6"/>
      <c r="M807" s="6"/>
    </row>
    <row r="808">
      <c r="L808" s="6"/>
      <c r="M808" s="6"/>
    </row>
    <row r="809">
      <c r="L809" s="6"/>
      <c r="M809" s="6"/>
    </row>
    <row r="810">
      <c r="L810" s="6"/>
      <c r="M810" s="6"/>
    </row>
    <row r="811">
      <c r="L811" s="6"/>
      <c r="M811" s="6"/>
    </row>
    <row r="812">
      <c r="L812" s="6"/>
      <c r="M812" s="6"/>
    </row>
    <row r="813">
      <c r="L813" s="6"/>
      <c r="M813" s="6"/>
    </row>
    <row r="814">
      <c r="L814" s="6"/>
      <c r="M814" s="6"/>
    </row>
    <row r="815">
      <c r="L815" s="6"/>
      <c r="M815" s="6"/>
    </row>
    <row r="816">
      <c r="L816" s="6"/>
      <c r="M816" s="6"/>
    </row>
    <row r="817">
      <c r="L817" s="6"/>
      <c r="M817" s="6"/>
    </row>
    <row r="818">
      <c r="L818" s="6"/>
      <c r="M818" s="6"/>
    </row>
    <row r="819">
      <c r="L819" s="6"/>
      <c r="M819" s="6"/>
    </row>
    <row r="820">
      <c r="L820" s="6"/>
      <c r="M820" s="6"/>
    </row>
    <row r="821">
      <c r="L821" s="6"/>
      <c r="M821" s="6"/>
    </row>
    <row r="822">
      <c r="L822" s="6"/>
      <c r="M822" s="6"/>
    </row>
    <row r="823">
      <c r="L823" s="6"/>
      <c r="M823" s="6"/>
    </row>
    <row r="824">
      <c r="L824" s="6"/>
      <c r="M824" s="6"/>
    </row>
    <row r="825">
      <c r="L825" s="6"/>
      <c r="M825" s="6"/>
    </row>
    <row r="826">
      <c r="L826" s="6"/>
      <c r="M826" s="6"/>
    </row>
    <row r="827">
      <c r="L827" s="6"/>
      <c r="M827" s="6"/>
    </row>
    <row r="828">
      <c r="L828" s="6"/>
      <c r="M828" s="6"/>
    </row>
    <row r="829">
      <c r="L829" s="6"/>
      <c r="M829" s="6"/>
    </row>
    <row r="830">
      <c r="L830" s="6"/>
      <c r="M830" s="6"/>
    </row>
    <row r="831">
      <c r="L831" s="6"/>
      <c r="M831" s="6"/>
    </row>
    <row r="832">
      <c r="L832" s="6"/>
      <c r="M832" s="6"/>
    </row>
    <row r="833">
      <c r="L833" s="6"/>
      <c r="M833" s="6"/>
    </row>
    <row r="834">
      <c r="L834" s="6"/>
      <c r="M834" s="6"/>
    </row>
    <row r="835">
      <c r="L835" s="6"/>
      <c r="M835" s="6"/>
    </row>
    <row r="836">
      <c r="L836" s="6"/>
      <c r="M836" s="6"/>
    </row>
    <row r="837">
      <c r="L837" s="6"/>
      <c r="M837" s="6"/>
    </row>
    <row r="838">
      <c r="L838" s="6"/>
      <c r="M838" s="6"/>
    </row>
    <row r="839">
      <c r="L839" s="6"/>
      <c r="M839" s="6"/>
    </row>
    <row r="840">
      <c r="L840" s="6"/>
      <c r="M840" s="6"/>
    </row>
    <row r="841">
      <c r="L841" s="6"/>
      <c r="M841" s="6"/>
    </row>
    <row r="842">
      <c r="L842" s="6"/>
      <c r="M842" s="6"/>
    </row>
    <row r="843">
      <c r="L843" s="6"/>
      <c r="M843" s="6"/>
    </row>
    <row r="844">
      <c r="L844" s="6"/>
      <c r="M844" s="6"/>
    </row>
    <row r="845">
      <c r="L845" s="6"/>
      <c r="M845" s="6"/>
    </row>
    <row r="846">
      <c r="L846" s="6"/>
      <c r="M846" s="6"/>
    </row>
    <row r="847">
      <c r="L847" s="6"/>
      <c r="M847" s="6"/>
    </row>
    <row r="848">
      <c r="L848" s="6"/>
      <c r="M848" s="6"/>
    </row>
    <row r="849">
      <c r="L849" s="6"/>
      <c r="M849" s="6"/>
    </row>
    <row r="850">
      <c r="L850" s="6"/>
      <c r="M850" s="6"/>
    </row>
    <row r="851">
      <c r="L851" s="6"/>
      <c r="M851" s="6"/>
    </row>
    <row r="852">
      <c r="L852" s="6"/>
      <c r="M852" s="6"/>
    </row>
    <row r="853">
      <c r="L853" s="6"/>
      <c r="M853" s="6"/>
    </row>
    <row r="854">
      <c r="L854" s="6"/>
      <c r="M854" s="6"/>
    </row>
    <row r="855">
      <c r="L855" s="6"/>
      <c r="M855" s="6"/>
    </row>
    <row r="856">
      <c r="L856" s="6"/>
      <c r="M856" s="6"/>
    </row>
    <row r="857">
      <c r="L857" s="6"/>
      <c r="M857" s="6"/>
    </row>
    <row r="858">
      <c r="L858" s="6"/>
      <c r="M858" s="6"/>
    </row>
    <row r="859">
      <c r="L859" s="6"/>
      <c r="M859" s="6"/>
    </row>
    <row r="860">
      <c r="L860" s="6"/>
      <c r="M860" s="6"/>
    </row>
    <row r="861">
      <c r="L861" s="6"/>
      <c r="M861" s="6"/>
    </row>
    <row r="862">
      <c r="L862" s="6"/>
      <c r="M862" s="6"/>
    </row>
    <row r="863">
      <c r="L863" s="6"/>
      <c r="M863" s="6"/>
    </row>
    <row r="864">
      <c r="L864" s="6"/>
      <c r="M864" s="6"/>
    </row>
    <row r="865">
      <c r="L865" s="6"/>
      <c r="M865" s="6"/>
    </row>
    <row r="866">
      <c r="L866" s="6"/>
      <c r="M866" s="6"/>
    </row>
    <row r="867">
      <c r="L867" s="6"/>
      <c r="M867" s="6"/>
    </row>
    <row r="868">
      <c r="L868" s="6"/>
      <c r="M868" s="6"/>
    </row>
    <row r="869">
      <c r="L869" s="6"/>
      <c r="M869" s="6"/>
    </row>
    <row r="870">
      <c r="L870" s="6"/>
      <c r="M870" s="6"/>
    </row>
    <row r="871">
      <c r="L871" s="6"/>
      <c r="M871" s="6"/>
    </row>
    <row r="872">
      <c r="L872" s="6"/>
      <c r="M872" s="6"/>
    </row>
    <row r="873">
      <c r="L873" s="6"/>
      <c r="M873" s="6"/>
    </row>
    <row r="874">
      <c r="L874" s="6"/>
      <c r="M874" s="6"/>
    </row>
    <row r="875">
      <c r="L875" s="6"/>
      <c r="M875" s="6"/>
    </row>
    <row r="876">
      <c r="L876" s="6"/>
      <c r="M876" s="6"/>
    </row>
    <row r="877">
      <c r="L877" s="6"/>
      <c r="M877" s="6"/>
    </row>
    <row r="878">
      <c r="L878" s="6"/>
      <c r="M878" s="6"/>
    </row>
    <row r="879">
      <c r="L879" s="6"/>
      <c r="M879" s="6"/>
    </row>
    <row r="880">
      <c r="L880" s="6"/>
      <c r="M880" s="6"/>
    </row>
    <row r="881">
      <c r="L881" s="6"/>
      <c r="M881" s="6"/>
    </row>
    <row r="882">
      <c r="L882" s="6"/>
      <c r="M882" s="6"/>
    </row>
    <row r="883">
      <c r="L883" s="6"/>
      <c r="M883" s="6"/>
    </row>
    <row r="884">
      <c r="L884" s="6"/>
      <c r="M884" s="6"/>
    </row>
    <row r="885">
      <c r="L885" s="6"/>
      <c r="M885" s="6"/>
    </row>
    <row r="886">
      <c r="L886" s="6"/>
      <c r="M886" s="6"/>
    </row>
    <row r="887">
      <c r="L887" s="6"/>
      <c r="M887" s="6"/>
    </row>
    <row r="888">
      <c r="L888" s="6"/>
      <c r="M888" s="6"/>
    </row>
    <row r="889">
      <c r="L889" s="6"/>
      <c r="M889" s="6"/>
    </row>
    <row r="890">
      <c r="L890" s="6"/>
      <c r="M890" s="6"/>
    </row>
    <row r="891">
      <c r="L891" s="6"/>
      <c r="M891" s="6"/>
    </row>
    <row r="892">
      <c r="L892" s="6"/>
      <c r="M892" s="6"/>
    </row>
    <row r="893">
      <c r="L893" s="6"/>
      <c r="M893" s="6"/>
    </row>
    <row r="894">
      <c r="L894" s="6"/>
      <c r="M894" s="6"/>
    </row>
    <row r="895">
      <c r="L895" s="6"/>
      <c r="M895" s="6"/>
    </row>
    <row r="896">
      <c r="L896" s="6"/>
      <c r="M896" s="6"/>
    </row>
    <row r="897">
      <c r="L897" s="6"/>
      <c r="M897" s="6"/>
    </row>
    <row r="898">
      <c r="L898" s="6"/>
      <c r="M898" s="6"/>
    </row>
    <row r="899">
      <c r="L899" s="6"/>
      <c r="M899" s="6"/>
    </row>
    <row r="900">
      <c r="L900" s="6"/>
      <c r="M900" s="6"/>
    </row>
    <row r="901">
      <c r="L901" s="6"/>
      <c r="M901" s="6"/>
    </row>
    <row r="902">
      <c r="L902" s="6"/>
      <c r="M902" s="6"/>
    </row>
    <row r="903">
      <c r="L903" s="6"/>
      <c r="M903" s="6"/>
    </row>
    <row r="904">
      <c r="L904" s="6"/>
      <c r="M904" s="6"/>
    </row>
    <row r="905">
      <c r="L905" s="6"/>
      <c r="M905" s="6"/>
    </row>
    <row r="906">
      <c r="L906" s="6"/>
      <c r="M906" s="6"/>
    </row>
    <row r="907">
      <c r="L907" s="6"/>
      <c r="M907" s="6"/>
    </row>
    <row r="908">
      <c r="L908" s="6"/>
      <c r="M908" s="6"/>
    </row>
    <row r="909">
      <c r="L909" s="6"/>
      <c r="M909" s="6"/>
    </row>
    <row r="910">
      <c r="L910" s="6"/>
      <c r="M910" s="6"/>
    </row>
    <row r="911">
      <c r="L911" s="6"/>
      <c r="M911" s="6"/>
    </row>
    <row r="912">
      <c r="L912" s="6"/>
      <c r="M912" s="6"/>
    </row>
    <row r="913">
      <c r="L913" s="6"/>
      <c r="M913" s="6"/>
    </row>
    <row r="914">
      <c r="L914" s="6"/>
      <c r="M914" s="6"/>
    </row>
    <row r="915">
      <c r="L915" s="6"/>
      <c r="M915" s="6"/>
    </row>
    <row r="916">
      <c r="L916" s="6"/>
      <c r="M916" s="6"/>
    </row>
    <row r="917">
      <c r="L917" s="6"/>
      <c r="M917" s="6"/>
    </row>
    <row r="918">
      <c r="L918" s="6"/>
      <c r="M918" s="6"/>
    </row>
    <row r="919">
      <c r="L919" s="6"/>
      <c r="M919" s="6"/>
    </row>
    <row r="920">
      <c r="L920" s="6"/>
      <c r="M920" s="6"/>
    </row>
    <row r="921">
      <c r="L921" s="6"/>
      <c r="M921" s="6"/>
    </row>
    <row r="922">
      <c r="L922" s="6"/>
      <c r="M922" s="6"/>
    </row>
    <row r="923">
      <c r="L923" s="6"/>
      <c r="M923" s="6"/>
    </row>
    <row r="924">
      <c r="L924" s="6"/>
      <c r="M924" s="6"/>
    </row>
    <row r="925">
      <c r="L925" s="6"/>
      <c r="M925" s="6"/>
    </row>
    <row r="926">
      <c r="L926" s="6"/>
      <c r="M926" s="6"/>
    </row>
    <row r="927">
      <c r="L927" s="6"/>
      <c r="M927" s="6"/>
    </row>
    <row r="928">
      <c r="L928" s="6"/>
      <c r="M928" s="6"/>
    </row>
    <row r="929">
      <c r="L929" s="6"/>
      <c r="M929" s="6"/>
    </row>
    <row r="930">
      <c r="L930" s="6"/>
      <c r="M930" s="6"/>
    </row>
    <row r="931">
      <c r="L931" s="6"/>
      <c r="M931" s="6"/>
    </row>
    <row r="932">
      <c r="L932" s="6"/>
      <c r="M932" s="6"/>
    </row>
    <row r="933">
      <c r="L933" s="6"/>
      <c r="M933" s="6"/>
    </row>
    <row r="934">
      <c r="L934" s="6"/>
      <c r="M934" s="6"/>
    </row>
    <row r="935">
      <c r="L935" s="6"/>
      <c r="M935" s="6"/>
    </row>
    <row r="936">
      <c r="L936" s="6"/>
      <c r="M936" s="6"/>
    </row>
    <row r="937">
      <c r="L937" s="6"/>
      <c r="M937" s="6"/>
    </row>
    <row r="938">
      <c r="L938" s="6"/>
      <c r="M938" s="6"/>
    </row>
    <row r="939">
      <c r="L939" s="6"/>
      <c r="M939" s="6"/>
    </row>
    <row r="940">
      <c r="L940" s="6"/>
      <c r="M940" s="6"/>
    </row>
    <row r="941">
      <c r="L941" s="6"/>
      <c r="M941" s="6"/>
    </row>
    <row r="942">
      <c r="L942" s="6"/>
      <c r="M942" s="6"/>
    </row>
    <row r="943">
      <c r="L943" s="6"/>
      <c r="M943" s="6"/>
    </row>
    <row r="944">
      <c r="L944" s="6"/>
      <c r="M944" s="6"/>
    </row>
    <row r="945">
      <c r="L945" s="6"/>
      <c r="M945" s="6"/>
    </row>
    <row r="946">
      <c r="L946" s="6"/>
      <c r="M946" s="6"/>
    </row>
    <row r="947">
      <c r="L947" s="6"/>
      <c r="M947" s="6"/>
    </row>
    <row r="948">
      <c r="L948" s="6"/>
      <c r="M948" s="6"/>
    </row>
    <row r="949">
      <c r="L949" s="6"/>
      <c r="M949" s="6"/>
    </row>
    <row r="950">
      <c r="L950" s="6"/>
      <c r="M950" s="6"/>
    </row>
    <row r="951">
      <c r="L951" s="6"/>
      <c r="M951" s="6"/>
    </row>
    <row r="952">
      <c r="L952" s="6"/>
      <c r="M952" s="6"/>
    </row>
    <row r="953">
      <c r="L953" s="6"/>
      <c r="M953" s="6"/>
    </row>
    <row r="954">
      <c r="L954" s="6"/>
      <c r="M954" s="6"/>
    </row>
    <row r="955">
      <c r="L955" s="6"/>
      <c r="M955" s="6"/>
    </row>
    <row r="956">
      <c r="L956" s="6"/>
      <c r="M956" s="6"/>
    </row>
    <row r="957">
      <c r="L957" s="6"/>
      <c r="M957" s="6"/>
    </row>
    <row r="958">
      <c r="L958" s="6"/>
      <c r="M958" s="6"/>
    </row>
    <row r="959">
      <c r="L959" s="6"/>
      <c r="M959" s="6"/>
    </row>
    <row r="960">
      <c r="L960" s="6"/>
      <c r="M960" s="6"/>
    </row>
    <row r="961">
      <c r="L961" s="6"/>
      <c r="M961" s="6"/>
    </row>
    <row r="962">
      <c r="L962" s="6"/>
      <c r="M962" s="6"/>
    </row>
    <row r="963">
      <c r="L963" s="6"/>
      <c r="M963" s="6"/>
    </row>
    <row r="964">
      <c r="L964" s="6"/>
      <c r="M964" s="6"/>
    </row>
    <row r="965">
      <c r="L965" s="6"/>
      <c r="M965" s="6"/>
    </row>
    <row r="966">
      <c r="L966" s="6"/>
      <c r="M966" s="6"/>
    </row>
    <row r="967">
      <c r="L967" s="6"/>
      <c r="M967" s="6"/>
    </row>
    <row r="968">
      <c r="L968" s="6"/>
      <c r="M968" s="6"/>
    </row>
    <row r="969">
      <c r="L969" s="6"/>
      <c r="M969" s="6"/>
    </row>
    <row r="970">
      <c r="L970" s="6"/>
      <c r="M970" s="6"/>
    </row>
    <row r="971">
      <c r="L971" s="6"/>
      <c r="M971" s="6"/>
    </row>
    <row r="972">
      <c r="L972" s="6"/>
      <c r="M972" s="6"/>
    </row>
    <row r="973">
      <c r="L973" s="6"/>
      <c r="M973" s="6"/>
    </row>
    <row r="974">
      <c r="L974" s="6"/>
      <c r="M974" s="6"/>
    </row>
    <row r="975">
      <c r="L975" s="6"/>
      <c r="M975" s="6"/>
    </row>
    <row r="976">
      <c r="L976" s="6"/>
      <c r="M976" s="6"/>
    </row>
    <row r="977">
      <c r="L977" s="6"/>
      <c r="M977" s="6"/>
    </row>
    <row r="978">
      <c r="L978" s="6"/>
      <c r="M978" s="6"/>
    </row>
    <row r="979">
      <c r="L979" s="6"/>
      <c r="M979" s="6"/>
    </row>
    <row r="980">
      <c r="L980" s="6"/>
      <c r="M980" s="6"/>
    </row>
    <row r="981">
      <c r="L981" s="6"/>
      <c r="M981" s="6"/>
    </row>
    <row r="982">
      <c r="L982" s="6"/>
      <c r="M982" s="6"/>
    </row>
    <row r="983">
      <c r="L983" s="6"/>
      <c r="M983" s="6"/>
    </row>
    <row r="984">
      <c r="L984" s="6"/>
      <c r="M984" s="6"/>
    </row>
    <row r="985">
      <c r="L985" s="6"/>
      <c r="M985" s="6"/>
    </row>
    <row r="986">
      <c r="L986" s="6"/>
      <c r="M986" s="6"/>
    </row>
    <row r="987">
      <c r="L987" s="6"/>
      <c r="M987" s="6"/>
    </row>
    <row r="988">
      <c r="L988" s="6"/>
      <c r="M988" s="6"/>
    </row>
    <row r="989">
      <c r="L989" s="6"/>
      <c r="M989" s="6"/>
    </row>
    <row r="990">
      <c r="L990" s="6"/>
      <c r="M990" s="6"/>
    </row>
    <row r="991">
      <c r="L991" s="6"/>
      <c r="M991" s="6"/>
    </row>
    <row r="992">
      <c r="L992" s="6"/>
      <c r="M992" s="6"/>
    </row>
    <row r="993">
      <c r="L993" s="6"/>
      <c r="M993" s="6"/>
    </row>
    <row r="994">
      <c r="L994" s="6"/>
      <c r="M994" s="6"/>
    </row>
    <row r="995">
      <c r="L995" s="6"/>
      <c r="M995" s="6"/>
    </row>
    <row r="996">
      <c r="L996" s="6"/>
      <c r="M996" s="6"/>
    </row>
    <row r="997">
      <c r="L997" s="6"/>
      <c r="M997" s="6"/>
    </row>
    <row r="998">
      <c r="L998" s="6"/>
      <c r="M998" s="6"/>
    </row>
    <row r="999">
      <c r="L999" s="6"/>
      <c r="M999" s="6"/>
    </row>
    <row r="1000">
      <c r="L1000" s="6"/>
      <c r="M1000" s="6"/>
    </row>
    <row r="1001">
      <c r="L1001" s="6"/>
      <c r="M1001" s="6"/>
    </row>
  </sheetData>
  <dataValidations>
    <dataValidation type="list" allowBlank="1" showErrorMessage="1" sqref="B21">
      <formula1>Weightings!$D$1:$G$1</formula1>
    </dataValidation>
    <dataValidation type="list" allowBlank="1" showErrorMessage="1" sqref="B2:J19">
      <formula1>Scoring!$A$2:$A$5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5" width="15.75"/>
    <col customWidth="1" min="6" max="8" width="17.25"/>
    <col customWidth="1" min="9" max="12" width="19.0"/>
    <col customWidth="1" min="13" max="17" width="15.25"/>
    <col customWidth="1" min="18" max="21" width="16.63"/>
    <col customWidth="1" min="22" max="26" width="14.38"/>
    <col customWidth="1" min="27" max="27" width="17.0"/>
    <col customWidth="1" min="28" max="33" width="13.5"/>
    <col customWidth="1" min="34" max="37" width="18.63"/>
  </cols>
  <sheetData>
    <row r="1">
      <c r="A1" s="1"/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5</v>
      </c>
      <c r="S1" s="1" t="s">
        <v>5</v>
      </c>
      <c r="T1" s="1" t="s">
        <v>5</v>
      </c>
      <c r="U1" s="1" t="s">
        <v>5</v>
      </c>
      <c r="V1" s="1" t="s">
        <v>6</v>
      </c>
      <c r="W1" s="1" t="s">
        <v>6</v>
      </c>
      <c r="X1" s="1" t="s">
        <v>6</v>
      </c>
      <c r="Y1" s="1" t="s">
        <v>6</v>
      </c>
      <c r="Z1" s="1" t="s">
        <v>6</v>
      </c>
      <c r="AA1" s="1" t="s">
        <v>6</v>
      </c>
      <c r="AB1" s="1" t="s">
        <v>7</v>
      </c>
      <c r="AC1" s="1" t="s">
        <v>7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9</v>
      </c>
      <c r="AI1" s="1" t="s">
        <v>9</v>
      </c>
      <c r="AJ1" s="1" t="s">
        <v>9</v>
      </c>
      <c r="AK1" s="1"/>
    </row>
    <row r="2">
      <c r="A2" s="1" t="s">
        <v>0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</row>
    <row r="3">
      <c r="A3" s="4" t="s">
        <v>13</v>
      </c>
      <c r="B3" s="6">
        <f t="array" ref="B3">(XLOOKUP(Players!$B2, Scoring!$A:$A, Scoring!$B:$B,"",1)) * (XLOOKUP(B$2, Weightings!$C$2:$C$36, Weightings!$I$2:$I$36,"",1))</f>
        <v>2.8</v>
      </c>
      <c r="C3" s="6">
        <f t="array" ref="C3">(XLOOKUP(Players!$B2, Scoring!$A:$A, Scoring!$B:$B,"",1)) * (XLOOKUP(C$2, Weightings!$C$2:$C$36, Weightings!$I$2:$I$36,"",1))</f>
        <v>1.4</v>
      </c>
      <c r="D3" s="6">
        <f t="array" ref="D3">(XLOOKUP(Players!$B2, Scoring!$A:$A, Scoring!$B:$B,"",1)) * (XLOOKUP(D$2, Weightings!$C$2:$C$36, Weightings!$I$2:$I$36,"",1))</f>
        <v>0</v>
      </c>
      <c r="E3" s="6">
        <f t="array" ref="E3">(XLOOKUP(Players!$B2, Scoring!$A:$A, Scoring!$B:$B,"",1)) * (XLOOKUP(E$2, Weightings!$C$2:$C$36, Weightings!$I$2:$I$36,"",1))</f>
        <v>1.4</v>
      </c>
      <c r="F3" s="6">
        <f t="array" ref="F3">(XLOOKUP(Players!$C2, Scoring!$A:$A, Scoring!$B:$B,"",1)) * (XLOOKUP(F$2, Weightings!$C$2:$C$36, Weightings!$I$2:$I$36,"",1))</f>
        <v>3.5</v>
      </c>
      <c r="G3" s="6">
        <f t="array" ref="G3">(XLOOKUP(Players!$C2, Scoring!$A:$A, Scoring!$B:$B,"",1)) * (XLOOKUP(G$2, Weightings!$C$2:$C$36, Weightings!$I$2:$I$36,"",1))</f>
        <v>3.5</v>
      </c>
      <c r="H3" s="6">
        <f t="array" ref="H3">(XLOOKUP(Players!$C2, Scoring!$A:$A, Scoring!$B:$B,"",1)) * (XLOOKUP(H$2, Weightings!$C$2:$C$36, Weightings!$I$2:$I$36,"",1))</f>
        <v>1.4</v>
      </c>
      <c r="I3" s="6">
        <f t="array" ref="I3">(XLOOKUP(Players!$D2, Scoring!$A:$A, Scoring!$B:$B,"",1)) * (XLOOKUP(I$2, Weightings!$C$2:$C$36, Weightings!$I$2:$I$36,"",1))</f>
        <v>1.04</v>
      </c>
      <c r="J3" s="6">
        <f t="array" ref="J3">(XLOOKUP(Players!$D2, Scoring!$A:$A, Scoring!$B:$B,"",1)) * (XLOOKUP(J$2, Weightings!$C$2:$C$36, Weightings!$I$2:$I$36,"",1))</f>
        <v>1.04</v>
      </c>
      <c r="K3" s="6">
        <f t="array" ref="K3">(XLOOKUP(Players!$D2, Scoring!$A:$A, Scoring!$B:$B,"",1)) * (XLOOKUP(K$2, Weightings!$C$2:$C$36, Weightings!$I$2:$I$36,"",1))</f>
        <v>0.52</v>
      </c>
      <c r="L3" s="6">
        <f t="array" ref="L3">(XLOOKUP(Players!$D2, Scoring!$A:$A, Scoring!$B:$B,"",1)) * (XLOOKUP(L$2, Weightings!$C$2:$C$36, Weightings!$I$2:$I$36,"",1))</f>
        <v>1.56</v>
      </c>
      <c r="M3" s="6">
        <f t="array" ref="M3">(XLOOKUP(Players!$E2, Scoring!$A:$A, Scoring!$B:$B,"",1)) * (XLOOKUP(M$2, Weightings!$C$2:$C$36, Weightings!$I$2:$I$36,"",1))</f>
        <v>1.56</v>
      </c>
      <c r="N3" s="6">
        <f t="array" ref="N3">(XLOOKUP(Players!$E2, Scoring!$A:$A, Scoring!$B:$B,"",1)) * (XLOOKUP(N$2, Weightings!$C$2:$C$36, Weightings!$I$2:$I$36,"",1))</f>
        <v>0</v>
      </c>
      <c r="O3" s="6">
        <f t="array" ref="O3">(XLOOKUP(Players!$E2, Scoring!$A:$A, Scoring!$B:$B,"",1)) * (XLOOKUP(O$2, Weightings!$C$2:$C$36, Weightings!$I$2:$I$36,"",1))</f>
        <v>0</v>
      </c>
      <c r="P3" s="6">
        <f t="array" ref="P3">(XLOOKUP(Players!$E2, Scoring!$A:$A, Scoring!$B:$B,"",1)) * (XLOOKUP(P$2, Weightings!$C$2:$C$36, Weightings!$I$2:$I$36,"",1))</f>
        <v>0</v>
      </c>
      <c r="Q3" s="6">
        <f t="array" ref="Q3">(XLOOKUP(Players!$E2, Scoring!$A:$A, Scoring!$B:$B,"",1)) * (XLOOKUP(Q$2, Weightings!$C$2:$C$36, Weightings!$I$2:$I$36,"",1))</f>
        <v>0</v>
      </c>
      <c r="R3" s="6">
        <f t="array" ref="R3">(XLOOKUP(Players!$F2, Scoring!$A:$A, Scoring!$B:$B,"",1)) * (XLOOKUP(R$2, Weightings!$C$2:$C$36, Weightings!$I$2:$I$36,"",1))</f>
        <v>1.56</v>
      </c>
      <c r="S3" s="6">
        <f t="array" ref="S3">(XLOOKUP(Players!$F2, Scoring!$A:$A, Scoring!$B:$B,"",1)) * (XLOOKUP(S$2, Weightings!$C$2:$C$36, Weightings!$I$2:$I$36,"",1))</f>
        <v>0.52</v>
      </c>
      <c r="T3" s="6">
        <f t="array" ref="T3">(XLOOKUP(Players!$F2, Scoring!$A:$A, Scoring!$B:$B,"",1)) * (XLOOKUP(T$2, Weightings!$C$2:$C$36, Weightings!$I$2:$I$36,"",1))</f>
        <v>2.08</v>
      </c>
      <c r="U3" s="6">
        <f t="array" ref="U3">(XLOOKUP(Players!$F2, Scoring!$A:$A, Scoring!$B:$B,"",1)) * (XLOOKUP(U$2, Weightings!$C$2:$C$36, Weightings!$I$2:$I$36,"",1))</f>
        <v>1.04</v>
      </c>
      <c r="V3" s="6">
        <f t="array" ref="V3">(XLOOKUP(Players!$G2, Scoring!$A:$A, Scoring!$B:$B,"",1)) * (XLOOKUP(V$2, Weightings!$C$2:$C$36, Weightings!$I$2:$I$36,"",1))</f>
        <v>3.5</v>
      </c>
      <c r="W3" s="6">
        <f t="array" ref="W3">(XLOOKUP(Players!$G2, Scoring!$A:$A, Scoring!$B:$B,"",1)) * (XLOOKUP(W$2, Weightings!$C$2:$C$36, Weightings!$I$2:$I$36,"",1))</f>
        <v>2.1</v>
      </c>
      <c r="X3" s="6">
        <f t="array" ref="X3">(XLOOKUP(Players!$G2, Scoring!$A:$A, Scoring!$B:$B,"",1)) * (XLOOKUP(X$2, Weightings!$C$2:$C$36, Weightings!$I$2:$I$36,"",1))</f>
        <v>3.5</v>
      </c>
      <c r="Y3" s="6">
        <f t="array" ref="Y3">(XLOOKUP(Players!$G2, Scoring!$A:$A, Scoring!$B:$B,"",1)) * (XLOOKUP(Y$2, Weightings!$C$2:$C$36, Weightings!$I$2:$I$36,"",1))</f>
        <v>2.8</v>
      </c>
      <c r="Z3" s="6">
        <f t="array" ref="Z3">(XLOOKUP(Players!$G2, Scoring!$A:$A, Scoring!$B:$B,"",1)) * (XLOOKUP(Z$2, Weightings!$C$2:$C$36, Weightings!$I$2:$I$36,"",1))</f>
        <v>2.1</v>
      </c>
      <c r="AA3" s="6">
        <f t="array" ref="AA3">(XLOOKUP(Players!$G2, Scoring!$A:$A, Scoring!$B:$B,"",1)) * (XLOOKUP(AA$2, Weightings!$C$2:$C$36, Weightings!$I$2:$I$36,"",1))</f>
        <v>3.5</v>
      </c>
      <c r="AB3" s="6">
        <f t="array" ref="AB3">(XLOOKUP(Players!$H2, Scoring!$A:$A, Scoring!$B:$B,"",1)) * (XLOOKUP(AB$2, Weightings!$C$2:$C$36, Weightings!$I$2:$I$36,"",1))</f>
        <v>1.56</v>
      </c>
      <c r="AC3" s="6">
        <f t="array" ref="AC3">(XLOOKUP(Players!$H2, Scoring!$A:$A, Scoring!$B:$B,"",1)) * (XLOOKUP(AC$2, Weightings!$C$2:$C$36, Weightings!$I$2:$I$36,"",1))</f>
        <v>2.6</v>
      </c>
      <c r="AD3" s="6">
        <f t="array" ref="AD3">(XLOOKUP(Players!$I2, Scoring!$A:$A, Scoring!$B:$B,"",1)) * (XLOOKUP(AD$2, Weightings!$C$2:$C$36, Weightings!$I$2:$I$36,"",1))</f>
        <v>2.08</v>
      </c>
      <c r="AE3" s="6">
        <f t="array" ref="AE3">(XLOOKUP(Players!$I2, Scoring!$A:$A, Scoring!$B:$B,"",1)) * (XLOOKUP(AE$2, Weightings!$C$2:$C$36, Weightings!$I$2:$I$36,"",1))</f>
        <v>3.64</v>
      </c>
      <c r="AF3" s="6">
        <f t="array" ref="AF3">(XLOOKUP(Players!$I2, Scoring!$A:$A, Scoring!$B:$B,"",1)) * (XLOOKUP(AF$2, Weightings!$C$2:$C$36, Weightings!$I$2:$I$36,"",1))</f>
        <v>1.56</v>
      </c>
      <c r="AG3" s="6">
        <f t="array" ref="AG3">(XLOOKUP(Players!$I2, Scoring!$A:$A, Scoring!$B:$B,"",1)) * (XLOOKUP(AG$2, Weightings!$C$2:$C$36, Weightings!$I$2:$I$36,"",1))</f>
        <v>1.56</v>
      </c>
      <c r="AH3" s="6">
        <f t="array" ref="AH3">(XLOOKUP(Players!$J2, Scoring!$A:$A, Scoring!$B:$B,"",1)) * (XLOOKUP(AH$2, Weightings!$C$2:$C$36, Weightings!$I$2:$I$36,"",1))</f>
        <v>2.08</v>
      </c>
      <c r="AI3" s="6">
        <f t="array" ref="AI3">(XLOOKUP(Players!$J2, Scoring!$A:$A, Scoring!$B:$B,"",1)) * (XLOOKUP(AI$2, Weightings!$C$2:$C$36, Weightings!$I$2:$I$36,"",1))</f>
        <v>2.08</v>
      </c>
      <c r="AJ3" s="6">
        <f t="array" ref="AJ3">(XLOOKUP(Players!$J2, Scoring!$A:$A, Scoring!$B:$B,"",1)) * (XLOOKUP(AJ$2, Weightings!$C$2:$C$36, Weightings!$I$2:$I$36,"",1))</f>
        <v>0.52</v>
      </c>
      <c r="AK3" s="6">
        <f t="shared" ref="AK3:AK20" si="1">SUM(A3:AJ3)</f>
        <v>60.1</v>
      </c>
    </row>
    <row r="4">
      <c r="A4" s="4" t="s">
        <v>16</v>
      </c>
      <c r="B4" s="6">
        <f t="array" ref="B4">(XLOOKUP(Players!$B3, Scoring!$A:$A, Scoring!$B:$B,"",1)) * (XLOOKUP(B$2, Weightings!$C$2:$C$36, Weightings!$I$2:$I$36,"",1))</f>
        <v>2.8</v>
      </c>
      <c r="C4" s="6">
        <f t="array" ref="C4">(XLOOKUP(Players!$B3, Scoring!$A:$A, Scoring!$B:$B,"",1)) * (XLOOKUP(C$2, Weightings!$C$2:$C$36, Weightings!$I$2:$I$36,"",1))</f>
        <v>1.4</v>
      </c>
      <c r="D4" s="6">
        <f t="array" ref="D4">(XLOOKUP(Players!$B3, Scoring!$A:$A, Scoring!$B:$B,"",1)) * (XLOOKUP(D$2, Weightings!$C$2:$C$36, Weightings!$I$2:$I$36,"",1))</f>
        <v>0</v>
      </c>
      <c r="E4" s="6">
        <f t="array" ref="E4">(XLOOKUP(Players!$B3, Scoring!$A:$A, Scoring!$B:$B,"",1)) * (XLOOKUP(E$2, Weightings!$C$2:$C$36, Weightings!$I$2:$I$36,"",1))</f>
        <v>1.4</v>
      </c>
      <c r="F4" s="6">
        <f t="array" ref="F4">(XLOOKUP(Players!$C3, Scoring!$A:$A, Scoring!$B:$B,"",1)) * (XLOOKUP(F$2, Weightings!$C$2:$C$36, Weightings!$I$2:$I$36,"",1))</f>
        <v>3.5</v>
      </c>
      <c r="G4" s="6">
        <f t="array" ref="G4">(XLOOKUP(Players!$C3, Scoring!$A:$A, Scoring!$B:$B,"",1)) * (XLOOKUP(G$2, Weightings!$C$2:$C$36, Weightings!$I$2:$I$36,"",1))</f>
        <v>3.5</v>
      </c>
      <c r="H4" s="6">
        <f t="array" ref="H4">(XLOOKUP(Players!$C3, Scoring!$A:$A, Scoring!$B:$B,"",1)) * (XLOOKUP(H$2, Weightings!$C$2:$C$36, Weightings!$I$2:$I$36,"",1))</f>
        <v>1.4</v>
      </c>
      <c r="I4" s="6">
        <f t="array" ref="I4">(XLOOKUP(Players!$D3, Scoring!$A:$A, Scoring!$B:$B,"",1)) * (XLOOKUP(I$2, Weightings!$C$2:$C$36, Weightings!$I$2:$I$36,"",1))</f>
        <v>1.4</v>
      </c>
      <c r="J4" s="6">
        <f t="array" ref="J4">(XLOOKUP(Players!$D3, Scoring!$A:$A, Scoring!$B:$B,"",1)) * (XLOOKUP(J$2, Weightings!$C$2:$C$36, Weightings!$I$2:$I$36,"",1))</f>
        <v>1.4</v>
      </c>
      <c r="K4" s="6">
        <f t="array" ref="K4">(XLOOKUP(Players!$D3, Scoring!$A:$A, Scoring!$B:$B,"",1)) * (XLOOKUP(K$2, Weightings!$C$2:$C$36, Weightings!$I$2:$I$36,"",1))</f>
        <v>0.7</v>
      </c>
      <c r="L4" s="6">
        <f t="array" ref="L4">(XLOOKUP(Players!$D3, Scoring!$A:$A, Scoring!$B:$B,"",1)) * (XLOOKUP(L$2, Weightings!$C$2:$C$36, Weightings!$I$2:$I$36,"",1))</f>
        <v>2.1</v>
      </c>
      <c r="M4" s="6">
        <f t="array" ref="M4">(XLOOKUP(Players!$E3, Scoring!$A:$A, Scoring!$B:$B,"",1)) * (XLOOKUP(M$2, Weightings!$C$2:$C$36, Weightings!$I$2:$I$36,"",1))</f>
        <v>2.1</v>
      </c>
      <c r="N4" s="6">
        <f t="array" ref="N4">(XLOOKUP(Players!$E3, Scoring!$A:$A, Scoring!$B:$B,"",1)) * (XLOOKUP(N$2, Weightings!$C$2:$C$36, Weightings!$I$2:$I$36,"",1))</f>
        <v>0</v>
      </c>
      <c r="O4" s="6">
        <f t="array" ref="O4">(XLOOKUP(Players!$E3, Scoring!$A:$A, Scoring!$B:$B,"",1)) * (XLOOKUP(O$2, Weightings!$C$2:$C$36, Weightings!$I$2:$I$36,"",1))</f>
        <v>0</v>
      </c>
      <c r="P4" s="6">
        <f t="array" ref="P4">(XLOOKUP(Players!$E3, Scoring!$A:$A, Scoring!$B:$B,"",1)) * (XLOOKUP(P$2, Weightings!$C$2:$C$36, Weightings!$I$2:$I$36,"",1))</f>
        <v>0</v>
      </c>
      <c r="Q4" s="6">
        <f t="array" ref="Q4">(XLOOKUP(Players!$E3, Scoring!$A:$A, Scoring!$B:$B,"",1)) * (XLOOKUP(Q$2, Weightings!$C$2:$C$36, Weightings!$I$2:$I$36,"",1))</f>
        <v>0</v>
      </c>
      <c r="R4" s="6">
        <f t="array" ref="R4">(XLOOKUP(Players!$F3, Scoring!$A:$A, Scoring!$B:$B,"",1)) * (XLOOKUP(R$2, Weightings!$C$2:$C$36, Weightings!$I$2:$I$36,"",1))</f>
        <v>1.05</v>
      </c>
      <c r="S4" s="6">
        <f t="array" ref="S4">(XLOOKUP(Players!$F3, Scoring!$A:$A, Scoring!$B:$B,"",1)) * (XLOOKUP(S$2, Weightings!$C$2:$C$36, Weightings!$I$2:$I$36,"",1))</f>
        <v>0.35</v>
      </c>
      <c r="T4" s="6">
        <f t="array" ref="T4">(XLOOKUP(Players!$F3, Scoring!$A:$A, Scoring!$B:$B,"",1)) * (XLOOKUP(T$2, Weightings!$C$2:$C$36, Weightings!$I$2:$I$36,"",1))</f>
        <v>1.4</v>
      </c>
      <c r="U4" s="6">
        <f t="array" ref="U4">(XLOOKUP(Players!$F3, Scoring!$A:$A, Scoring!$B:$B,"",1)) * (XLOOKUP(U$2, Weightings!$C$2:$C$36, Weightings!$I$2:$I$36,"",1))</f>
        <v>0.7</v>
      </c>
      <c r="V4" s="6">
        <f t="array" ref="V4">(XLOOKUP(Players!$G3, Scoring!$A:$A, Scoring!$B:$B,"",1)) * (XLOOKUP(V$2, Weightings!$C$2:$C$36, Weightings!$I$2:$I$36,"",1))</f>
        <v>2.6</v>
      </c>
      <c r="W4" s="6">
        <f t="array" ref="W4">(XLOOKUP(Players!$G3, Scoring!$A:$A, Scoring!$B:$B,"",1)) * (XLOOKUP(W$2, Weightings!$C$2:$C$36, Weightings!$I$2:$I$36,"",1))</f>
        <v>1.56</v>
      </c>
      <c r="X4" s="6">
        <f t="array" ref="X4">(XLOOKUP(Players!$G3, Scoring!$A:$A, Scoring!$B:$B,"",1)) * (XLOOKUP(X$2, Weightings!$C$2:$C$36, Weightings!$I$2:$I$36,"",1))</f>
        <v>2.6</v>
      </c>
      <c r="Y4" s="6">
        <f t="array" ref="Y4">(XLOOKUP(Players!$G3, Scoring!$A:$A, Scoring!$B:$B,"",1)) * (XLOOKUP(Y$2, Weightings!$C$2:$C$36, Weightings!$I$2:$I$36,"",1))</f>
        <v>2.08</v>
      </c>
      <c r="Z4" s="6">
        <f t="array" ref="Z4">(XLOOKUP(Players!$G3, Scoring!$A:$A, Scoring!$B:$B,"",1)) * (XLOOKUP(Z$2, Weightings!$C$2:$C$36, Weightings!$I$2:$I$36,"",1))</f>
        <v>1.56</v>
      </c>
      <c r="AA4" s="6">
        <f t="array" ref="AA4">(XLOOKUP(Players!$G3, Scoring!$A:$A, Scoring!$B:$B,"",1)) * (XLOOKUP(AA$2, Weightings!$C$2:$C$36, Weightings!$I$2:$I$36,"",1))</f>
        <v>2.6</v>
      </c>
      <c r="AB4" s="6">
        <f t="array" ref="AB4">(XLOOKUP(Players!$H3, Scoring!$A:$A, Scoring!$B:$B,"",1)) * (XLOOKUP(AB$2, Weightings!$C$2:$C$36, Weightings!$I$2:$I$36,"",1))</f>
        <v>1.56</v>
      </c>
      <c r="AC4" s="6">
        <f t="array" ref="AC4">(XLOOKUP(Players!$H3, Scoring!$A:$A, Scoring!$B:$B,"",1)) * (XLOOKUP(AC$2, Weightings!$C$2:$C$36, Weightings!$I$2:$I$36,"",1))</f>
        <v>2.6</v>
      </c>
      <c r="AD4" s="6">
        <f t="array" ref="AD4">(XLOOKUP(Players!$I3, Scoring!$A:$A, Scoring!$B:$B,"",1)) * (XLOOKUP(AD$2, Weightings!$C$2:$C$36, Weightings!$I$2:$I$36,"",1))</f>
        <v>2.08</v>
      </c>
      <c r="AE4" s="6">
        <f t="array" ref="AE4">(XLOOKUP(Players!$I3, Scoring!$A:$A, Scoring!$B:$B,"",1)) * (XLOOKUP(AE$2, Weightings!$C$2:$C$36, Weightings!$I$2:$I$36,"",1))</f>
        <v>3.64</v>
      </c>
      <c r="AF4" s="6">
        <f t="array" ref="AF4">(XLOOKUP(Players!$I3, Scoring!$A:$A, Scoring!$B:$B,"",1)) * (XLOOKUP(AF$2, Weightings!$C$2:$C$36, Weightings!$I$2:$I$36,"",1))</f>
        <v>1.56</v>
      </c>
      <c r="AG4" s="6">
        <f t="array" ref="AG4">(XLOOKUP(Players!$I3, Scoring!$A:$A, Scoring!$B:$B,"",1)) * (XLOOKUP(AG$2, Weightings!$C$2:$C$36, Weightings!$I$2:$I$36,"",1))</f>
        <v>1.56</v>
      </c>
      <c r="AH4" s="6">
        <f t="array" ref="AH4">(XLOOKUP(Players!$J3, Scoring!$A:$A, Scoring!$B:$B,"",1)) * (XLOOKUP(AH$2, Weightings!$C$2:$C$36, Weightings!$I$2:$I$36,"",1))</f>
        <v>0.72</v>
      </c>
      <c r="AI4" s="6">
        <f t="array" ref="AI4">(XLOOKUP(Players!$J3, Scoring!$A:$A, Scoring!$B:$B,"",1)) * (XLOOKUP(AI$2, Weightings!$C$2:$C$36, Weightings!$I$2:$I$36,"",1))</f>
        <v>0.72</v>
      </c>
      <c r="AJ4" s="6">
        <f t="array" ref="AJ4">(XLOOKUP(Players!$J3, Scoring!$A:$A, Scoring!$B:$B,"",1)) * (XLOOKUP(AJ$2, Weightings!$C$2:$C$36, Weightings!$I$2:$I$36,"",1))</f>
        <v>0.18</v>
      </c>
      <c r="AK4" s="6">
        <f t="shared" si="1"/>
        <v>52.82</v>
      </c>
    </row>
    <row r="5">
      <c r="A5" s="4" t="s">
        <v>19</v>
      </c>
      <c r="B5" s="6">
        <f t="array" ref="B5">(XLOOKUP(Players!$B4, Scoring!$A:$A, Scoring!$B:$B,"",1)) * (XLOOKUP(B$2, Weightings!$C$2:$C$36, Weightings!$I$2:$I$36,"",1))</f>
        <v>2.08</v>
      </c>
      <c r="C5" s="6">
        <f t="array" ref="C5">(XLOOKUP(Players!$B4, Scoring!$A:$A, Scoring!$B:$B,"",1)) * (XLOOKUP(C$2, Weightings!$C$2:$C$36, Weightings!$I$2:$I$36,"",1))</f>
        <v>1.04</v>
      </c>
      <c r="D5" s="6">
        <f t="array" ref="D5">(XLOOKUP(Players!$B4, Scoring!$A:$A, Scoring!$B:$B,"",1)) * (XLOOKUP(D$2, Weightings!$C$2:$C$36, Weightings!$I$2:$I$36,"",1))</f>
        <v>0</v>
      </c>
      <c r="E5" s="6">
        <f t="array" ref="E5">(XLOOKUP(Players!$B4, Scoring!$A:$A, Scoring!$B:$B,"",1)) * (XLOOKUP(E$2, Weightings!$C$2:$C$36, Weightings!$I$2:$I$36,"",1))</f>
        <v>1.04</v>
      </c>
      <c r="F5" s="6">
        <f t="array" ref="F5">(XLOOKUP(Players!$C4, Scoring!$A:$A, Scoring!$B:$B,"",1)) * (XLOOKUP(F$2, Weightings!$C$2:$C$36, Weightings!$I$2:$I$36,"",1))</f>
        <v>2.6</v>
      </c>
      <c r="G5" s="6">
        <f t="array" ref="G5">(XLOOKUP(Players!$C4, Scoring!$A:$A, Scoring!$B:$B,"",1)) * (XLOOKUP(G$2, Weightings!$C$2:$C$36, Weightings!$I$2:$I$36,"",1))</f>
        <v>2.6</v>
      </c>
      <c r="H5" s="6">
        <f t="array" ref="H5">(XLOOKUP(Players!$C4, Scoring!$A:$A, Scoring!$B:$B,"",1)) * (XLOOKUP(H$2, Weightings!$C$2:$C$36, Weightings!$I$2:$I$36,"",1))</f>
        <v>1.04</v>
      </c>
      <c r="I5" s="6">
        <f t="array" ref="I5">(XLOOKUP(Players!$D4, Scoring!$A:$A, Scoring!$B:$B,"",1)) * (XLOOKUP(I$2, Weightings!$C$2:$C$36, Weightings!$I$2:$I$36,"",1))</f>
        <v>1.04</v>
      </c>
      <c r="J5" s="6">
        <f t="array" ref="J5">(XLOOKUP(Players!$D4, Scoring!$A:$A, Scoring!$B:$B,"",1)) * (XLOOKUP(J$2, Weightings!$C$2:$C$36, Weightings!$I$2:$I$36,"",1))</f>
        <v>1.04</v>
      </c>
      <c r="K5" s="6">
        <f t="array" ref="K5">(XLOOKUP(Players!$D4, Scoring!$A:$A, Scoring!$B:$B,"",1)) * (XLOOKUP(K$2, Weightings!$C$2:$C$36, Weightings!$I$2:$I$36,"",1))</f>
        <v>0.52</v>
      </c>
      <c r="L5" s="6">
        <f t="array" ref="L5">(XLOOKUP(Players!$D4, Scoring!$A:$A, Scoring!$B:$B,"",1)) * (XLOOKUP(L$2, Weightings!$C$2:$C$36, Weightings!$I$2:$I$36,"",1))</f>
        <v>1.56</v>
      </c>
      <c r="M5" s="6">
        <f t="array" ref="M5">(XLOOKUP(Players!$E4, Scoring!$A:$A, Scoring!$B:$B,"",1)) * (XLOOKUP(M$2, Weightings!$C$2:$C$36, Weightings!$I$2:$I$36,"",1))</f>
        <v>1.56</v>
      </c>
      <c r="N5" s="6">
        <f t="array" ref="N5">(XLOOKUP(Players!$E4, Scoring!$A:$A, Scoring!$B:$B,"",1)) * (XLOOKUP(N$2, Weightings!$C$2:$C$36, Weightings!$I$2:$I$36,"",1))</f>
        <v>0</v>
      </c>
      <c r="O5" s="6">
        <f t="array" ref="O5">(XLOOKUP(Players!$E4, Scoring!$A:$A, Scoring!$B:$B,"",1)) * (XLOOKUP(O$2, Weightings!$C$2:$C$36, Weightings!$I$2:$I$36,"",1))</f>
        <v>0</v>
      </c>
      <c r="P5" s="6">
        <f t="array" ref="P5">(XLOOKUP(Players!$E4, Scoring!$A:$A, Scoring!$B:$B,"",1)) * (XLOOKUP(P$2, Weightings!$C$2:$C$36, Weightings!$I$2:$I$36,"",1))</f>
        <v>0</v>
      </c>
      <c r="Q5" s="6">
        <f t="array" ref="Q5">(XLOOKUP(Players!$E4, Scoring!$A:$A, Scoring!$B:$B,"",1)) * (XLOOKUP(Q$2, Weightings!$C$2:$C$36, Weightings!$I$2:$I$36,"",1))</f>
        <v>0</v>
      </c>
      <c r="R5" s="6">
        <f t="array" ref="R5">(XLOOKUP(Players!$F4, Scoring!$A:$A, Scoring!$B:$B,"",1)) * (XLOOKUP(R$2, Weightings!$C$2:$C$36, Weightings!$I$2:$I$36,"",1))</f>
        <v>1.56</v>
      </c>
      <c r="S5" s="6">
        <f t="array" ref="S5">(XLOOKUP(Players!$F4, Scoring!$A:$A, Scoring!$B:$B,"",1)) * (XLOOKUP(S$2, Weightings!$C$2:$C$36, Weightings!$I$2:$I$36,"",1))</f>
        <v>0.52</v>
      </c>
      <c r="T5" s="6">
        <f t="array" ref="T5">(XLOOKUP(Players!$F4, Scoring!$A:$A, Scoring!$B:$B,"",1)) * (XLOOKUP(T$2, Weightings!$C$2:$C$36, Weightings!$I$2:$I$36,"",1))</f>
        <v>2.08</v>
      </c>
      <c r="U5" s="6">
        <f t="array" ref="U5">(XLOOKUP(Players!$F4, Scoring!$A:$A, Scoring!$B:$B,"",1)) * (XLOOKUP(U$2, Weightings!$C$2:$C$36, Weightings!$I$2:$I$36,"",1))</f>
        <v>1.04</v>
      </c>
      <c r="V5" s="6">
        <f t="array" ref="V5">(XLOOKUP(Players!$G4, Scoring!$A:$A, Scoring!$B:$B,"",1)) * (XLOOKUP(V$2, Weightings!$C$2:$C$36, Weightings!$I$2:$I$36,"",1))</f>
        <v>1.75</v>
      </c>
      <c r="W5" s="6">
        <f t="array" ref="W5">(XLOOKUP(Players!$G4, Scoring!$A:$A, Scoring!$B:$B,"",1)) * (XLOOKUP(W$2, Weightings!$C$2:$C$36, Weightings!$I$2:$I$36,"",1))</f>
        <v>1.05</v>
      </c>
      <c r="X5" s="6">
        <f t="array" ref="X5">(XLOOKUP(Players!$G4, Scoring!$A:$A, Scoring!$B:$B,"",1)) * (XLOOKUP(X$2, Weightings!$C$2:$C$36, Weightings!$I$2:$I$36,"",1))</f>
        <v>1.75</v>
      </c>
      <c r="Y5" s="6">
        <f t="array" ref="Y5">(XLOOKUP(Players!$G4, Scoring!$A:$A, Scoring!$B:$B,"",1)) * (XLOOKUP(Y$2, Weightings!$C$2:$C$36, Weightings!$I$2:$I$36,"",1))</f>
        <v>1.4</v>
      </c>
      <c r="Z5" s="6">
        <f t="array" ref="Z5">(XLOOKUP(Players!$G4, Scoring!$A:$A, Scoring!$B:$B,"",1)) * (XLOOKUP(Z$2, Weightings!$C$2:$C$36, Weightings!$I$2:$I$36,"",1))</f>
        <v>1.05</v>
      </c>
      <c r="AA5" s="6">
        <f t="array" ref="AA5">(XLOOKUP(Players!$G4, Scoring!$A:$A, Scoring!$B:$B,"",1)) * (XLOOKUP(AA$2, Weightings!$C$2:$C$36, Weightings!$I$2:$I$36,"",1))</f>
        <v>1.75</v>
      </c>
      <c r="AB5" s="6">
        <f t="array" ref="AB5">(XLOOKUP(Players!$H4, Scoring!$A:$A, Scoring!$B:$B,"",1)) * (XLOOKUP(AB$2, Weightings!$C$2:$C$36, Weightings!$I$2:$I$36,"",1))</f>
        <v>2.1</v>
      </c>
      <c r="AC5" s="6">
        <f t="array" ref="AC5">(XLOOKUP(Players!$H4, Scoring!$A:$A, Scoring!$B:$B,"",1)) * (XLOOKUP(AC$2, Weightings!$C$2:$C$36, Weightings!$I$2:$I$36,"",1))</f>
        <v>3.5</v>
      </c>
      <c r="AD5" s="6">
        <f t="array" ref="AD5">(XLOOKUP(Players!$I4, Scoring!$A:$A, Scoring!$B:$B,"",1)) * (XLOOKUP(AD$2, Weightings!$C$2:$C$36, Weightings!$I$2:$I$36,"",1))</f>
        <v>2.08</v>
      </c>
      <c r="AE5" s="6">
        <f t="array" ref="AE5">(XLOOKUP(Players!$I4, Scoring!$A:$A, Scoring!$B:$B,"",1)) * (XLOOKUP(AE$2, Weightings!$C$2:$C$36, Weightings!$I$2:$I$36,"",1))</f>
        <v>3.64</v>
      </c>
      <c r="AF5" s="6">
        <f t="array" ref="AF5">(XLOOKUP(Players!$I4, Scoring!$A:$A, Scoring!$B:$B,"",1)) * (XLOOKUP(AF$2, Weightings!$C$2:$C$36, Weightings!$I$2:$I$36,"",1))</f>
        <v>1.56</v>
      </c>
      <c r="AG5" s="6">
        <f t="array" ref="AG5">(XLOOKUP(Players!$I4, Scoring!$A:$A, Scoring!$B:$B,"",1)) * (XLOOKUP(AG$2, Weightings!$C$2:$C$36, Weightings!$I$2:$I$36,"",1))</f>
        <v>1.56</v>
      </c>
      <c r="AH5" s="6">
        <f t="array" ref="AH5">(XLOOKUP(Players!$J4, Scoring!$A:$A, Scoring!$B:$B,"",1)) * (XLOOKUP(AH$2, Weightings!$C$2:$C$36, Weightings!$I$2:$I$36,"",1))</f>
        <v>2.08</v>
      </c>
      <c r="AI5" s="6">
        <f t="array" ref="AI5">(XLOOKUP(Players!$J4, Scoring!$A:$A, Scoring!$B:$B,"",1)) * (XLOOKUP(AI$2, Weightings!$C$2:$C$36, Weightings!$I$2:$I$36,"",1))</f>
        <v>2.08</v>
      </c>
      <c r="AJ5" s="6">
        <f t="array" ref="AJ5">(XLOOKUP(Players!$J4, Scoring!$A:$A, Scoring!$B:$B,"",1)) * (XLOOKUP(AJ$2, Weightings!$C$2:$C$36, Weightings!$I$2:$I$36,"",1))</f>
        <v>0.52</v>
      </c>
      <c r="AK5" s="6">
        <f t="shared" si="1"/>
        <v>49.19</v>
      </c>
    </row>
    <row r="6">
      <c r="A6" s="4" t="s">
        <v>20</v>
      </c>
      <c r="B6" s="6">
        <f t="array" ref="B6">(XLOOKUP(Players!$B5, Scoring!$A:$A, Scoring!$B:$B,"",1)) * (XLOOKUP(B$2, Weightings!$C$2:$C$36, Weightings!$I$2:$I$36,"",1))</f>
        <v>1.4</v>
      </c>
      <c r="C6" s="6">
        <f t="array" ref="C6">(XLOOKUP(Players!$B5, Scoring!$A:$A, Scoring!$B:$B,"",1)) * (XLOOKUP(C$2, Weightings!$C$2:$C$36, Weightings!$I$2:$I$36,"",1))</f>
        <v>0.7</v>
      </c>
      <c r="D6" s="6">
        <f t="array" ref="D6">(XLOOKUP(Players!$B5, Scoring!$A:$A, Scoring!$B:$B,"",1)) * (XLOOKUP(D$2, Weightings!$C$2:$C$36, Weightings!$I$2:$I$36,"",1))</f>
        <v>0</v>
      </c>
      <c r="E6" s="6">
        <f t="array" ref="E6">(XLOOKUP(Players!$B5, Scoring!$A:$A, Scoring!$B:$B,"",1)) * (XLOOKUP(E$2, Weightings!$C$2:$C$36, Weightings!$I$2:$I$36,"",1))</f>
        <v>0.7</v>
      </c>
      <c r="F6" s="6">
        <f t="array" ref="F6">(XLOOKUP(Players!$C5, Scoring!$A:$A, Scoring!$B:$B,"",1)) * (XLOOKUP(F$2, Weightings!$C$2:$C$36, Weightings!$I$2:$I$36,"",1))</f>
        <v>2.6</v>
      </c>
      <c r="G6" s="6">
        <f t="array" ref="G6">(XLOOKUP(Players!$C5, Scoring!$A:$A, Scoring!$B:$B,"",1)) * (XLOOKUP(G$2, Weightings!$C$2:$C$36, Weightings!$I$2:$I$36,"",1))</f>
        <v>2.6</v>
      </c>
      <c r="H6" s="6">
        <f t="array" ref="H6">(XLOOKUP(Players!$C5, Scoring!$A:$A, Scoring!$B:$B,"",1)) * (XLOOKUP(H$2, Weightings!$C$2:$C$36, Weightings!$I$2:$I$36,"",1))</f>
        <v>1.04</v>
      </c>
      <c r="I6" s="6">
        <f t="array" ref="I6">(XLOOKUP(Players!$D5, Scoring!$A:$A, Scoring!$B:$B,"",1)) * (XLOOKUP(I$2, Weightings!$C$2:$C$36, Weightings!$I$2:$I$36,"",1))</f>
        <v>1.04</v>
      </c>
      <c r="J6" s="6">
        <f t="array" ref="J6">(XLOOKUP(Players!$D5, Scoring!$A:$A, Scoring!$B:$B,"",1)) * (XLOOKUP(J$2, Weightings!$C$2:$C$36, Weightings!$I$2:$I$36,"",1))</f>
        <v>1.04</v>
      </c>
      <c r="K6" s="6">
        <f t="array" ref="K6">(XLOOKUP(Players!$D5, Scoring!$A:$A, Scoring!$B:$B,"",1)) * (XLOOKUP(K$2, Weightings!$C$2:$C$36, Weightings!$I$2:$I$36,"",1))</f>
        <v>0.52</v>
      </c>
      <c r="L6" s="6">
        <f t="array" ref="L6">(XLOOKUP(Players!$D5, Scoring!$A:$A, Scoring!$B:$B,"",1)) * (XLOOKUP(L$2, Weightings!$C$2:$C$36, Weightings!$I$2:$I$36,"",1))</f>
        <v>1.56</v>
      </c>
      <c r="M6" s="6">
        <f t="array" ref="M6">(XLOOKUP(Players!$E5, Scoring!$A:$A, Scoring!$B:$B,"",1)) * (XLOOKUP(M$2, Weightings!$C$2:$C$36, Weightings!$I$2:$I$36,"",1))</f>
        <v>1.05</v>
      </c>
      <c r="N6" s="6">
        <f t="array" ref="N6">(XLOOKUP(Players!$E5, Scoring!$A:$A, Scoring!$B:$B,"",1)) * (XLOOKUP(N$2, Weightings!$C$2:$C$36, Weightings!$I$2:$I$36,"",1))</f>
        <v>0</v>
      </c>
      <c r="O6" s="6">
        <f t="array" ref="O6">(XLOOKUP(Players!$E5, Scoring!$A:$A, Scoring!$B:$B,"",1)) * (XLOOKUP(O$2, Weightings!$C$2:$C$36, Weightings!$I$2:$I$36,"",1))</f>
        <v>0</v>
      </c>
      <c r="P6" s="6">
        <f t="array" ref="P6">(XLOOKUP(Players!$E5, Scoring!$A:$A, Scoring!$B:$B,"",1)) * (XLOOKUP(P$2, Weightings!$C$2:$C$36, Weightings!$I$2:$I$36,"",1))</f>
        <v>0</v>
      </c>
      <c r="Q6" s="6">
        <f t="array" ref="Q6">(XLOOKUP(Players!$E5, Scoring!$A:$A, Scoring!$B:$B,"",1)) * (XLOOKUP(Q$2, Weightings!$C$2:$C$36, Weightings!$I$2:$I$36,"",1))</f>
        <v>0</v>
      </c>
      <c r="R6" s="6">
        <f t="array" ref="R6">(XLOOKUP(Players!$F5, Scoring!$A:$A, Scoring!$B:$B,"",1)) * (XLOOKUP(R$2, Weightings!$C$2:$C$36, Weightings!$I$2:$I$36,"",1))</f>
        <v>2.1</v>
      </c>
      <c r="S6" s="6">
        <f t="array" ref="S6">(XLOOKUP(Players!$F5, Scoring!$A:$A, Scoring!$B:$B,"",1)) * (XLOOKUP(S$2, Weightings!$C$2:$C$36, Weightings!$I$2:$I$36,"",1))</f>
        <v>0.7</v>
      </c>
      <c r="T6" s="6">
        <f t="array" ref="T6">(XLOOKUP(Players!$F5, Scoring!$A:$A, Scoring!$B:$B,"",1)) * (XLOOKUP(T$2, Weightings!$C$2:$C$36, Weightings!$I$2:$I$36,"",1))</f>
        <v>2.8</v>
      </c>
      <c r="U6" s="6">
        <f t="array" ref="U6">(XLOOKUP(Players!$F5, Scoring!$A:$A, Scoring!$B:$B,"",1)) * (XLOOKUP(U$2, Weightings!$C$2:$C$36, Weightings!$I$2:$I$36,"",1))</f>
        <v>1.4</v>
      </c>
      <c r="V6" s="6">
        <f t="array" ref="V6">(XLOOKUP(Players!$G5, Scoring!$A:$A, Scoring!$B:$B,"",1)) * (XLOOKUP(V$2, Weightings!$C$2:$C$36, Weightings!$I$2:$I$36,"",1))</f>
        <v>2.6</v>
      </c>
      <c r="W6" s="6">
        <f t="array" ref="W6">(XLOOKUP(Players!$G5, Scoring!$A:$A, Scoring!$B:$B,"",1)) * (XLOOKUP(W$2, Weightings!$C$2:$C$36, Weightings!$I$2:$I$36,"",1))</f>
        <v>1.56</v>
      </c>
      <c r="X6" s="6">
        <f t="array" ref="X6">(XLOOKUP(Players!$G5, Scoring!$A:$A, Scoring!$B:$B,"",1)) * (XLOOKUP(X$2, Weightings!$C$2:$C$36, Weightings!$I$2:$I$36,"",1))</f>
        <v>2.6</v>
      </c>
      <c r="Y6" s="6">
        <f t="array" ref="Y6">(XLOOKUP(Players!$G5, Scoring!$A:$A, Scoring!$B:$B,"",1)) * (XLOOKUP(Y$2, Weightings!$C$2:$C$36, Weightings!$I$2:$I$36,"",1))</f>
        <v>2.08</v>
      </c>
      <c r="Z6" s="6">
        <f t="array" ref="Z6">(XLOOKUP(Players!$G5, Scoring!$A:$A, Scoring!$B:$B,"",1)) * (XLOOKUP(Z$2, Weightings!$C$2:$C$36, Weightings!$I$2:$I$36,"",1))</f>
        <v>1.56</v>
      </c>
      <c r="AA6" s="6">
        <f t="array" ref="AA6">(XLOOKUP(Players!$G5, Scoring!$A:$A, Scoring!$B:$B,"",1)) * (XLOOKUP(AA$2, Weightings!$C$2:$C$36, Weightings!$I$2:$I$36,"",1))</f>
        <v>2.6</v>
      </c>
      <c r="AB6" s="6">
        <f t="array" ref="AB6">(XLOOKUP(Players!$H5, Scoring!$A:$A, Scoring!$B:$B,"",1)) * (XLOOKUP(AB$2, Weightings!$C$2:$C$36, Weightings!$I$2:$I$36,"",1))</f>
        <v>1.56</v>
      </c>
      <c r="AC6" s="6">
        <f t="array" ref="AC6">(XLOOKUP(Players!$H5, Scoring!$A:$A, Scoring!$B:$B,"",1)) * (XLOOKUP(AC$2, Weightings!$C$2:$C$36, Weightings!$I$2:$I$36,"",1))</f>
        <v>2.6</v>
      </c>
      <c r="AD6" s="6">
        <f t="array" ref="AD6">(XLOOKUP(Players!$I5, Scoring!$A:$A, Scoring!$B:$B,"",1)) * (XLOOKUP(AD$2, Weightings!$C$2:$C$36, Weightings!$I$2:$I$36,"",1))</f>
        <v>2.8</v>
      </c>
      <c r="AE6" s="6">
        <f t="array" ref="AE6">(XLOOKUP(Players!$I5, Scoring!$A:$A, Scoring!$B:$B,"",1)) * (XLOOKUP(AE$2, Weightings!$C$2:$C$36, Weightings!$I$2:$I$36,"",1))</f>
        <v>4.9</v>
      </c>
      <c r="AF6" s="6">
        <f t="array" ref="AF6">(XLOOKUP(Players!$I5, Scoring!$A:$A, Scoring!$B:$B,"",1)) * (XLOOKUP(AF$2, Weightings!$C$2:$C$36, Weightings!$I$2:$I$36,"",1))</f>
        <v>2.1</v>
      </c>
      <c r="AG6" s="6">
        <f t="array" ref="AG6">(XLOOKUP(Players!$I5, Scoring!$A:$A, Scoring!$B:$B,"",1)) * (XLOOKUP(AG$2, Weightings!$C$2:$C$36, Weightings!$I$2:$I$36,"",1))</f>
        <v>2.1</v>
      </c>
      <c r="AH6" s="6">
        <f t="array" ref="AH6">(XLOOKUP(Players!$J5, Scoring!$A:$A, Scoring!$B:$B,"",1)) * (XLOOKUP(AH$2, Weightings!$C$2:$C$36, Weightings!$I$2:$I$36,"",1))</f>
        <v>1.4</v>
      </c>
      <c r="AI6" s="6">
        <f t="array" ref="AI6">(XLOOKUP(Players!$J5, Scoring!$A:$A, Scoring!$B:$B,"",1)) * (XLOOKUP(AI$2, Weightings!$C$2:$C$36, Weightings!$I$2:$I$36,"",1))</f>
        <v>1.4</v>
      </c>
      <c r="AJ6" s="6">
        <f t="array" ref="AJ6">(XLOOKUP(Players!$J5, Scoring!$A:$A, Scoring!$B:$B,"",1)) * (XLOOKUP(AJ$2, Weightings!$C$2:$C$36, Weightings!$I$2:$I$36,"",1))</f>
        <v>0.35</v>
      </c>
      <c r="AK6" s="6">
        <f t="shared" si="1"/>
        <v>53.46</v>
      </c>
    </row>
    <row r="7">
      <c r="A7" s="4" t="s">
        <v>21</v>
      </c>
      <c r="B7" s="6">
        <f t="array" ref="B7">(XLOOKUP(Players!$B6, Scoring!$A:$A, Scoring!$B:$B,"",1)) * (XLOOKUP(B$2, Weightings!$C$2:$C$36, Weightings!$I$2:$I$36,"",1))</f>
        <v>2.08</v>
      </c>
      <c r="C7" s="6">
        <f t="array" ref="C7">(XLOOKUP(Players!$B6, Scoring!$A:$A, Scoring!$B:$B,"",1)) * (XLOOKUP(C$2, Weightings!$C$2:$C$36, Weightings!$I$2:$I$36,"",1))</f>
        <v>1.04</v>
      </c>
      <c r="D7" s="6">
        <f t="array" ref="D7">(XLOOKUP(Players!$B6, Scoring!$A:$A, Scoring!$B:$B,"",1)) * (XLOOKUP(D$2, Weightings!$C$2:$C$36, Weightings!$I$2:$I$36,"",1))</f>
        <v>0</v>
      </c>
      <c r="E7" s="6">
        <f t="array" ref="E7">(XLOOKUP(Players!$B6, Scoring!$A:$A, Scoring!$B:$B,"",1)) * (XLOOKUP(E$2, Weightings!$C$2:$C$36, Weightings!$I$2:$I$36,"",1))</f>
        <v>1.04</v>
      </c>
      <c r="F7" s="6">
        <f t="array" ref="F7">(XLOOKUP(Players!$C6, Scoring!$A:$A, Scoring!$B:$B,"",1)) * (XLOOKUP(F$2, Weightings!$C$2:$C$36, Weightings!$I$2:$I$36,"",1))</f>
        <v>2.6</v>
      </c>
      <c r="G7" s="6">
        <f t="array" ref="G7">(XLOOKUP(Players!$C6, Scoring!$A:$A, Scoring!$B:$B,"",1)) * (XLOOKUP(G$2, Weightings!$C$2:$C$36, Weightings!$I$2:$I$36,"",1))</f>
        <v>2.6</v>
      </c>
      <c r="H7" s="6">
        <f t="array" ref="H7">(XLOOKUP(Players!$C6, Scoring!$A:$A, Scoring!$B:$B,"",1)) * (XLOOKUP(H$2, Weightings!$C$2:$C$36, Weightings!$I$2:$I$36,"",1))</f>
        <v>1.04</v>
      </c>
      <c r="I7" s="6">
        <f t="array" ref="I7">(XLOOKUP(Players!$D6, Scoring!$A:$A, Scoring!$B:$B,"",1)) * (XLOOKUP(I$2, Weightings!$C$2:$C$36, Weightings!$I$2:$I$36,"",1))</f>
        <v>1.04</v>
      </c>
      <c r="J7" s="6">
        <f t="array" ref="J7">(XLOOKUP(Players!$D6, Scoring!$A:$A, Scoring!$B:$B,"",1)) * (XLOOKUP(J$2, Weightings!$C$2:$C$36, Weightings!$I$2:$I$36,"",1))</f>
        <v>1.04</v>
      </c>
      <c r="K7" s="6">
        <f t="array" ref="K7">(XLOOKUP(Players!$D6, Scoring!$A:$A, Scoring!$B:$B,"",1)) * (XLOOKUP(K$2, Weightings!$C$2:$C$36, Weightings!$I$2:$I$36,"",1))</f>
        <v>0.52</v>
      </c>
      <c r="L7" s="6">
        <f t="array" ref="L7">(XLOOKUP(Players!$D6, Scoring!$A:$A, Scoring!$B:$B,"",1)) * (XLOOKUP(L$2, Weightings!$C$2:$C$36, Weightings!$I$2:$I$36,"",1))</f>
        <v>1.56</v>
      </c>
      <c r="M7" s="6">
        <f t="array" ref="M7">(XLOOKUP(Players!$E6, Scoring!$A:$A, Scoring!$B:$B,"",1)) * (XLOOKUP(M$2, Weightings!$C$2:$C$36, Weightings!$I$2:$I$36,"",1))</f>
        <v>1.56</v>
      </c>
      <c r="N7" s="6">
        <f t="array" ref="N7">(XLOOKUP(Players!$E6, Scoring!$A:$A, Scoring!$B:$B,"",1)) * (XLOOKUP(N$2, Weightings!$C$2:$C$36, Weightings!$I$2:$I$36,"",1))</f>
        <v>0</v>
      </c>
      <c r="O7" s="6">
        <f t="array" ref="O7">(XLOOKUP(Players!$E6, Scoring!$A:$A, Scoring!$B:$B,"",1)) * (XLOOKUP(O$2, Weightings!$C$2:$C$36, Weightings!$I$2:$I$36,"",1))</f>
        <v>0</v>
      </c>
      <c r="P7" s="6">
        <f t="array" ref="P7">(XLOOKUP(Players!$E6, Scoring!$A:$A, Scoring!$B:$B,"",1)) * (XLOOKUP(P$2, Weightings!$C$2:$C$36, Weightings!$I$2:$I$36,"",1))</f>
        <v>0</v>
      </c>
      <c r="Q7" s="6">
        <f t="array" ref="Q7">(XLOOKUP(Players!$E6, Scoring!$A:$A, Scoring!$B:$B,"",1)) * (XLOOKUP(Q$2, Weightings!$C$2:$C$36, Weightings!$I$2:$I$36,"",1))</f>
        <v>0</v>
      </c>
      <c r="R7" s="6">
        <f t="array" ref="R7">(XLOOKUP(Players!$F6, Scoring!$A:$A, Scoring!$B:$B,"",1)) * (XLOOKUP(R$2, Weightings!$C$2:$C$36, Weightings!$I$2:$I$36,"",1))</f>
        <v>1.56</v>
      </c>
      <c r="S7" s="6">
        <f t="array" ref="S7">(XLOOKUP(Players!$F6, Scoring!$A:$A, Scoring!$B:$B,"",1)) * (XLOOKUP(S$2, Weightings!$C$2:$C$36, Weightings!$I$2:$I$36,"",1))</f>
        <v>0.52</v>
      </c>
      <c r="T7" s="6">
        <f t="array" ref="T7">(XLOOKUP(Players!$F6, Scoring!$A:$A, Scoring!$B:$B,"",1)) * (XLOOKUP(T$2, Weightings!$C$2:$C$36, Weightings!$I$2:$I$36,"",1))</f>
        <v>2.08</v>
      </c>
      <c r="U7" s="6">
        <f t="array" ref="U7">(XLOOKUP(Players!$F6, Scoring!$A:$A, Scoring!$B:$B,"",1)) * (XLOOKUP(U$2, Weightings!$C$2:$C$36, Weightings!$I$2:$I$36,"",1))</f>
        <v>1.04</v>
      </c>
      <c r="V7" s="6">
        <f t="array" ref="V7">(XLOOKUP(Players!$G6, Scoring!$A:$A, Scoring!$B:$B,"",1)) * (XLOOKUP(V$2, Weightings!$C$2:$C$36, Weightings!$I$2:$I$36,"",1))</f>
        <v>1.75</v>
      </c>
      <c r="W7" s="6">
        <f t="array" ref="W7">(XLOOKUP(Players!$G6, Scoring!$A:$A, Scoring!$B:$B,"",1)) * (XLOOKUP(W$2, Weightings!$C$2:$C$36, Weightings!$I$2:$I$36,"",1))</f>
        <v>1.05</v>
      </c>
      <c r="X7" s="6">
        <f t="array" ref="X7">(XLOOKUP(Players!$G6, Scoring!$A:$A, Scoring!$B:$B,"",1)) * (XLOOKUP(X$2, Weightings!$C$2:$C$36, Weightings!$I$2:$I$36,"",1))</f>
        <v>1.75</v>
      </c>
      <c r="Y7" s="6">
        <f t="array" ref="Y7">(XLOOKUP(Players!$G6, Scoring!$A:$A, Scoring!$B:$B,"",1)) * (XLOOKUP(Y$2, Weightings!$C$2:$C$36, Weightings!$I$2:$I$36,"",1))</f>
        <v>1.4</v>
      </c>
      <c r="Z7" s="6">
        <f t="array" ref="Z7">(XLOOKUP(Players!$G6, Scoring!$A:$A, Scoring!$B:$B,"",1)) * (XLOOKUP(Z$2, Weightings!$C$2:$C$36, Weightings!$I$2:$I$36,"",1))</f>
        <v>1.05</v>
      </c>
      <c r="AA7" s="6">
        <f t="array" ref="AA7">(XLOOKUP(Players!$G6, Scoring!$A:$A, Scoring!$B:$B,"",1)) * (XLOOKUP(AA$2, Weightings!$C$2:$C$36, Weightings!$I$2:$I$36,"",1))</f>
        <v>1.75</v>
      </c>
      <c r="AB7" s="6">
        <f t="array" ref="AB7">(XLOOKUP(Players!$H6, Scoring!$A:$A, Scoring!$B:$B,"",1)) * (XLOOKUP(AB$2, Weightings!$C$2:$C$36, Weightings!$I$2:$I$36,"",1))</f>
        <v>1.56</v>
      </c>
      <c r="AC7" s="6">
        <f t="array" ref="AC7">(XLOOKUP(Players!$H6, Scoring!$A:$A, Scoring!$B:$B,"",1)) * (XLOOKUP(AC$2, Weightings!$C$2:$C$36, Weightings!$I$2:$I$36,"",1))</f>
        <v>2.6</v>
      </c>
      <c r="AD7" s="6">
        <f t="array" ref="AD7">(XLOOKUP(Players!$I6, Scoring!$A:$A, Scoring!$B:$B,"",1)) * (XLOOKUP(AD$2, Weightings!$C$2:$C$36, Weightings!$I$2:$I$36,"",1))</f>
        <v>2.08</v>
      </c>
      <c r="AE7" s="6">
        <f t="array" ref="AE7">(XLOOKUP(Players!$I6, Scoring!$A:$A, Scoring!$B:$B,"",1)) * (XLOOKUP(AE$2, Weightings!$C$2:$C$36, Weightings!$I$2:$I$36,"",1))</f>
        <v>3.64</v>
      </c>
      <c r="AF7" s="6">
        <f t="array" ref="AF7">(XLOOKUP(Players!$I6, Scoring!$A:$A, Scoring!$B:$B,"",1)) * (XLOOKUP(AF$2, Weightings!$C$2:$C$36, Weightings!$I$2:$I$36,"",1))</f>
        <v>1.56</v>
      </c>
      <c r="AG7" s="6">
        <f t="array" ref="AG7">(XLOOKUP(Players!$I6, Scoring!$A:$A, Scoring!$B:$B,"",1)) * (XLOOKUP(AG$2, Weightings!$C$2:$C$36, Weightings!$I$2:$I$36,"",1))</f>
        <v>1.56</v>
      </c>
      <c r="AH7" s="6">
        <f t="array" ref="AH7">(XLOOKUP(Players!$J6, Scoring!$A:$A, Scoring!$B:$B,"",1)) * (XLOOKUP(AH$2, Weightings!$C$2:$C$36, Weightings!$I$2:$I$36,"",1))</f>
        <v>1.4</v>
      </c>
      <c r="AI7" s="6">
        <f t="array" ref="AI7">(XLOOKUP(Players!$J6, Scoring!$A:$A, Scoring!$B:$B,"",1)) * (XLOOKUP(AI$2, Weightings!$C$2:$C$36, Weightings!$I$2:$I$36,"",1))</f>
        <v>1.4</v>
      </c>
      <c r="AJ7" s="6">
        <f t="array" ref="AJ7">(XLOOKUP(Players!$J6, Scoring!$A:$A, Scoring!$B:$B,"",1)) * (XLOOKUP(AJ$2, Weightings!$C$2:$C$36, Weightings!$I$2:$I$36,"",1))</f>
        <v>0.35</v>
      </c>
      <c r="AK7" s="6">
        <f t="shared" si="1"/>
        <v>46.22</v>
      </c>
    </row>
    <row r="8">
      <c r="A8" s="4" t="s">
        <v>22</v>
      </c>
      <c r="B8" s="6">
        <f t="array" ref="B8">(XLOOKUP(Players!$B7, Scoring!$A:$A, Scoring!$B:$B,"",1)) * (XLOOKUP(B$2, Weightings!$C$2:$C$36, Weightings!$I$2:$I$36,"",1))</f>
        <v>2.08</v>
      </c>
      <c r="C8" s="6">
        <f t="array" ref="C8">(XLOOKUP(Players!$B7, Scoring!$A:$A, Scoring!$B:$B,"",1)) * (XLOOKUP(C$2, Weightings!$C$2:$C$36, Weightings!$I$2:$I$36,"",1))</f>
        <v>1.04</v>
      </c>
      <c r="D8" s="6">
        <f t="array" ref="D8">(XLOOKUP(Players!$B7, Scoring!$A:$A, Scoring!$B:$B,"",1)) * (XLOOKUP(D$2, Weightings!$C$2:$C$36, Weightings!$I$2:$I$36,"",1))</f>
        <v>0</v>
      </c>
      <c r="E8" s="6">
        <f t="array" ref="E8">(XLOOKUP(Players!$B7, Scoring!$A:$A, Scoring!$B:$B,"",1)) * (XLOOKUP(E$2, Weightings!$C$2:$C$36, Weightings!$I$2:$I$36,"",1))</f>
        <v>1.04</v>
      </c>
      <c r="F8" s="6">
        <f t="array" ref="F8">(XLOOKUP(Players!$C7, Scoring!$A:$A, Scoring!$B:$B,"",1)) * (XLOOKUP(F$2, Weightings!$C$2:$C$36, Weightings!$I$2:$I$36,"",1))</f>
        <v>2.6</v>
      </c>
      <c r="G8" s="6">
        <f t="array" ref="G8">(XLOOKUP(Players!$C7, Scoring!$A:$A, Scoring!$B:$B,"",1)) * (XLOOKUP(G$2, Weightings!$C$2:$C$36, Weightings!$I$2:$I$36,"",1))</f>
        <v>2.6</v>
      </c>
      <c r="H8" s="6">
        <f t="array" ref="H8">(XLOOKUP(Players!$C7, Scoring!$A:$A, Scoring!$B:$B,"",1)) * (XLOOKUP(H$2, Weightings!$C$2:$C$36, Weightings!$I$2:$I$36,"",1))</f>
        <v>1.04</v>
      </c>
      <c r="I8" s="6">
        <f t="array" ref="I8">(XLOOKUP(Players!$D7, Scoring!$A:$A, Scoring!$B:$B,"",1)) * (XLOOKUP(I$2, Weightings!$C$2:$C$36, Weightings!$I$2:$I$36,"",1))</f>
        <v>1.04</v>
      </c>
      <c r="J8" s="6">
        <f t="array" ref="J8">(XLOOKUP(Players!$D7, Scoring!$A:$A, Scoring!$B:$B,"",1)) * (XLOOKUP(J$2, Weightings!$C$2:$C$36, Weightings!$I$2:$I$36,"",1))</f>
        <v>1.04</v>
      </c>
      <c r="K8" s="6">
        <f t="array" ref="K8">(XLOOKUP(Players!$D7, Scoring!$A:$A, Scoring!$B:$B,"",1)) * (XLOOKUP(K$2, Weightings!$C$2:$C$36, Weightings!$I$2:$I$36,"",1))</f>
        <v>0.52</v>
      </c>
      <c r="L8" s="6">
        <f t="array" ref="L8">(XLOOKUP(Players!$D7, Scoring!$A:$A, Scoring!$B:$B,"",1)) * (XLOOKUP(L$2, Weightings!$C$2:$C$36, Weightings!$I$2:$I$36,"",1))</f>
        <v>1.56</v>
      </c>
      <c r="M8" s="6">
        <f t="array" ref="M8">(XLOOKUP(Players!$E7, Scoring!$A:$A, Scoring!$B:$B,"",1)) * (XLOOKUP(M$2, Weightings!$C$2:$C$36, Weightings!$I$2:$I$36,"",1))</f>
        <v>1.05</v>
      </c>
      <c r="N8" s="6">
        <f t="array" ref="N8">(XLOOKUP(Players!$E7, Scoring!$A:$A, Scoring!$B:$B,"",1)) * (XLOOKUP(N$2, Weightings!$C$2:$C$36, Weightings!$I$2:$I$36,"",1))</f>
        <v>0</v>
      </c>
      <c r="O8" s="6">
        <f t="array" ref="O8">(XLOOKUP(Players!$E7, Scoring!$A:$A, Scoring!$B:$B,"",1)) * (XLOOKUP(O$2, Weightings!$C$2:$C$36, Weightings!$I$2:$I$36,"",1))</f>
        <v>0</v>
      </c>
      <c r="P8" s="6">
        <f t="array" ref="P8">(XLOOKUP(Players!$E7, Scoring!$A:$A, Scoring!$B:$B,"",1)) * (XLOOKUP(P$2, Weightings!$C$2:$C$36, Weightings!$I$2:$I$36,"",1))</f>
        <v>0</v>
      </c>
      <c r="Q8" s="6">
        <f t="array" ref="Q8">(XLOOKUP(Players!$E7, Scoring!$A:$A, Scoring!$B:$B,"",1)) * (XLOOKUP(Q$2, Weightings!$C$2:$C$36, Weightings!$I$2:$I$36,"",1))</f>
        <v>0</v>
      </c>
      <c r="R8" s="6">
        <f t="array" ref="R8">(XLOOKUP(Players!$F7, Scoring!$A:$A, Scoring!$B:$B,"",1)) * (XLOOKUP(R$2, Weightings!$C$2:$C$36, Weightings!$I$2:$I$36,"",1))</f>
        <v>1.56</v>
      </c>
      <c r="S8" s="6">
        <f t="array" ref="S8">(XLOOKUP(Players!$F7, Scoring!$A:$A, Scoring!$B:$B,"",1)) * (XLOOKUP(S$2, Weightings!$C$2:$C$36, Weightings!$I$2:$I$36,"",1))</f>
        <v>0.52</v>
      </c>
      <c r="T8" s="6">
        <f t="array" ref="T8">(XLOOKUP(Players!$F7, Scoring!$A:$A, Scoring!$B:$B,"",1)) * (XLOOKUP(T$2, Weightings!$C$2:$C$36, Weightings!$I$2:$I$36,"",1))</f>
        <v>2.08</v>
      </c>
      <c r="U8" s="6">
        <f t="array" ref="U8">(XLOOKUP(Players!$F7, Scoring!$A:$A, Scoring!$B:$B,"",1)) * (XLOOKUP(U$2, Weightings!$C$2:$C$36, Weightings!$I$2:$I$36,"",1))</f>
        <v>1.04</v>
      </c>
      <c r="V8" s="6">
        <f t="array" ref="V8">(XLOOKUP(Players!$G7, Scoring!$A:$A, Scoring!$B:$B,"",1)) * (XLOOKUP(V$2, Weightings!$C$2:$C$36, Weightings!$I$2:$I$36,"",1))</f>
        <v>2.6</v>
      </c>
      <c r="W8" s="6">
        <f t="array" ref="W8">(XLOOKUP(Players!$G7, Scoring!$A:$A, Scoring!$B:$B,"",1)) * (XLOOKUP(W$2, Weightings!$C$2:$C$36, Weightings!$I$2:$I$36,"",1))</f>
        <v>1.56</v>
      </c>
      <c r="X8" s="6">
        <f t="array" ref="X8">(XLOOKUP(Players!$G7, Scoring!$A:$A, Scoring!$B:$B,"",1)) * (XLOOKUP(X$2, Weightings!$C$2:$C$36, Weightings!$I$2:$I$36,"",1))</f>
        <v>2.6</v>
      </c>
      <c r="Y8" s="6">
        <f t="array" ref="Y8">(XLOOKUP(Players!$G7, Scoring!$A:$A, Scoring!$B:$B,"",1)) * (XLOOKUP(Y$2, Weightings!$C$2:$C$36, Weightings!$I$2:$I$36,"",1))</f>
        <v>2.08</v>
      </c>
      <c r="Z8" s="6">
        <f t="array" ref="Z8">(XLOOKUP(Players!$G7, Scoring!$A:$A, Scoring!$B:$B,"",1)) * (XLOOKUP(Z$2, Weightings!$C$2:$C$36, Weightings!$I$2:$I$36,"",1))</f>
        <v>1.56</v>
      </c>
      <c r="AA8" s="6">
        <f t="array" ref="AA8">(XLOOKUP(Players!$G7, Scoring!$A:$A, Scoring!$B:$B,"",1)) * (XLOOKUP(AA$2, Weightings!$C$2:$C$36, Weightings!$I$2:$I$36,"",1))</f>
        <v>2.6</v>
      </c>
      <c r="AB8" s="6">
        <f t="array" ref="AB8">(XLOOKUP(Players!$H7, Scoring!$A:$A, Scoring!$B:$B,"",1)) * (XLOOKUP(AB$2, Weightings!$C$2:$C$36, Weightings!$I$2:$I$36,"",1))</f>
        <v>1.56</v>
      </c>
      <c r="AC8" s="6">
        <f t="array" ref="AC8">(XLOOKUP(Players!$H7, Scoring!$A:$A, Scoring!$B:$B,"",1)) * (XLOOKUP(AC$2, Weightings!$C$2:$C$36, Weightings!$I$2:$I$36,"",1))</f>
        <v>2.6</v>
      </c>
      <c r="AD8" s="6">
        <f t="array" ref="AD8">(XLOOKUP(Players!$I7, Scoring!$A:$A, Scoring!$B:$B,"",1)) * (XLOOKUP(AD$2, Weightings!$C$2:$C$36, Weightings!$I$2:$I$36,"",1))</f>
        <v>2.08</v>
      </c>
      <c r="AE8" s="6">
        <f t="array" ref="AE8">(XLOOKUP(Players!$I7, Scoring!$A:$A, Scoring!$B:$B,"",1)) * (XLOOKUP(AE$2, Weightings!$C$2:$C$36, Weightings!$I$2:$I$36,"",1))</f>
        <v>3.64</v>
      </c>
      <c r="AF8" s="6">
        <f t="array" ref="AF8">(XLOOKUP(Players!$I7, Scoring!$A:$A, Scoring!$B:$B,"",1)) * (XLOOKUP(AF$2, Weightings!$C$2:$C$36, Weightings!$I$2:$I$36,"",1))</f>
        <v>1.56</v>
      </c>
      <c r="AG8" s="6">
        <f t="array" ref="AG8">(XLOOKUP(Players!$I7, Scoring!$A:$A, Scoring!$B:$B,"",1)) * (XLOOKUP(AG$2, Weightings!$C$2:$C$36, Weightings!$I$2:$I$36,"",1))</f>
        <v>1.56</v>
      </c>
      <c r="AH8" s="6">
        <f t="array" ref="AH8">(XLOOKUP(Players!$J7, Scoring!$A:$A, Scoring!$B:$B,"",1)) * (XLOOKUP(AH$2, Weightings!$C$2:$C$36, Weightings!$I$2:$I$36,"",1))</f>
        <v>1.4</v>
      </c>
      <c r="AI8" s="6">
        <f t="array" ref="AI8">(XLOOKUP(Players!$J7, Scoring!$A:$A, Scoring!$B:$B,"",1)) * (XLOOKUP(AI$2, Weightings!$C$2:$C$36, Weightings!$I$2:$I$36,"",1))</f>
        <v>1.4</v>
      </c>
      <c r="AJ8" s="6">
        <f t="array" ref="AJ8">(XLOOKUP(Players!$J7, Scoring!$A:$A, Scoring!$B:$B,"",1)) * (XLOOKUP(AJ$2, Weightings!$C$2:$C$36, Weightings!$I$2:$I$36,"",1))</f>
        <v>0.35</v>
      </c>
      <c r="AK8" s="6">
        <f t="shared" si="1"/>
        <v>49.96</v>
      </c>
    </row>
    <row r="9">
      <c r="A9" s="4" t="s">
        <v>23</v>
      </c>
      <c r="B9" s="6">
        <f t="array" ref="B9">(XLOOKUP(Players!$B8, Scoring!$A:$A, Scoring!$B:$B,"",1)) * (XLOOKUP(B$2, Weightings!$C$2:$C$36, Weightings!$I$2:$I$36,"",1))</f>
        <v>2.08</v>
      </c>
      <c r="C9" s="6">
        <f t="array" ref="C9">(XLOOKUP(Players!$B8, Scoring!$A:$A, Scoring!$B:$B,"",1)) * (XLOOKUP(C$2, Weightings!$C$2:$C$36, Weightings!$I$2:$I$36,"",1))</f>
        <v>1.04</v>
      </c>
      <c r="D9" s="6">
        <f t="array" ref="D9">(XLOOKUP(Players!$B8, Scoring!$A:$A, Scoring!$B:$B,"",1)) * (XLOOKUP(D$2, Weightings!$C$2:$C$36, Weightings!$I$2:$I$36,"",1))</f>
        <v>0</v>
      </c>
      <c r="E9" s="6">
        <f t="array" ref="E9">(XLOOKUP(Players!$B8, Scoring!$A:$A, Scoring!$B:$B,"",1)) * (XLOOKUP(E$2, Weightings!$C$2:$C$36, Weightings!$I$2:$I$36,"",1))</f>
        <v>1.04</v>
      </c>
      <c r="F9" s="6">
        <f t="array" ref="F9">(XLOOKUP(Players!$C8, Scoring!$A:$A, Scoring!$B:$B,"",1)) * (XLOOKUP(F$2, Weightings!$C$2:$C$36, Weightings!$I$2:$I$36,"",1))</f>
        <v>2.6</v>
      </c>
      <c r="G9" s="6">
        <f t="array" ref="G9">(XLOOKUP(Players!$C8, Scoring!$A:$A, Scoring!$B:$B,"",1)) * (XLOOKUP(G$2, Weightings!$C$2:$C$36, Weightings!$I$2:$I$36,"",1))</f>
        <v>2.6</v>
      </c>
      <c r="H9" s="6">
        <f t="array" ref="H9">(XLOOKUP(Players!$C8, Scoring!$A:$A, Scoring!$B:$B,"",1)) * (XLOOKUP(H$2, Weightings!$C$2:$C$36, Weightings!$I$2:$I$36,"",1))</f>
        <v>1.04</v>
      </c>
      <c r="I9" s="6">
        <f t="array" ref="I9">(XLOOKUP(Players!$D8, Scoring!$A:$A, Scoring!$B:$B,"",1)) * (XLOOKUP(I$2, Weightings!$C$2:$C$36, Weightings!$I$2:$I$36,"",1))</f>
        <v>1.04</v>
      </c>
      <c r="J9" s="6">
        <f t="array" ref="J9">(XLOOKUP(Players!$D8, Scoring!$A:$A, Scoring!$B:$B,"",1)) * (XLOOKUP(J$2, Weightings!$C$2:$C$36, Weightings!$I$2:$I$36,"",1))</f>
        <v>1.04</v>
      </c>
      <c r="K9" s="6">
        <f t="array" ref="K9">(XLOOKUP(Players!$D8, Scoring!$A:$A, Scoring!$B:$B,"",1)) * (XLOOKUP(K$2, Weightings!$C$2:$C$36, Weightings!$I$2:$I$36,"",1))</f>
        <v>0.52</v>
      </c>
      <c r="L9" s="6">
        <f t="array" ref="L9">(XLOOKUP(Players!$D8, Scoring!$A:$A, Scoring!$B:$B,"",1)) * (XLOOKUP(L$2, Weightings!$C$2:$C$36, Weightings!$I$2:$I$36,"",1))</f>
        <v>1.56</v>
      </c>
      <c r="M9" s="6">
        <f t="array" ref="M9">(XLOOKUP(Players!$E8, Scoring!$A:$A, Scoring!$B:$B,"",1)) * (XLOOKUP(M$2, Weightings!$C$2:$C$36, Weightings!$I$2:$I$36,"",1))</f>
        <v>1.56</v>
      </c>
      <c r="N9" s="6">
        <f t="array" ref="N9">(XLOOKUP(Players!$E8, Scoring!$A:$A, Scoring!$B:$B,"",1)) * (XLOOKUP(N$2, Weightings!$C$2:$C$36, Weightings!$I$2:$I$36,"",1))</f>
        <v>0</v>
      </c>
      <c r="O9" s="6">
        <f t="array" ref="O9">(XLOOKUP(Players!$E8, Scoring!$A:$A, Scoring!$B:$B,"",1)) * (XLOOKUP(O$2, Weightings!$C$2:$C$36, Weightings!$I$2:$I$36,"",1))</f>
        <v>0</v>
      </c>
      <c r="P9" s="6">
        <f t="array" ref="P9">(XLOOKUP(Players!$E8, Scoring!$A:$A, Scoring!$B:$B,"",1)) * (XLOOKUP(P$2, Weightings!$C$2:$C$36, Weightings!$I$2:$I$36,"",1))</f>
        <v>0</v>
      </c>
      <c r="Q9" s="6">
        <f t="array" ref="Q9">(XLOOKUP(Players!$E8, Scoring!$A:$A, Scoring!$B:$B,"",1)) * (XLOOKUP(Q$2, Weightings!$C$2:$C$36, Weightings!$I$2:$I$36,"",1))</f>
        <v>0</v>
      </c>
      <c r="R9" s="6">
        <f t="array" ref="R9">(XLOOKUP(Players!$F8, Scoring!$A:$A, Scoring!$B:$B,"",1)) * (XLOOKUP(R$2, Weightings!$C$2:$C$36, Weightings!$I$2:$I$36,"",1))</f>
        <v>1.56</v>
      </c>
      <c r="S9" s="6">
        <f t="array" ref="S9">(XLOOKUP(Players!$F8, Scoring!$A:$A, Scoring!$B:$B,"",1)) * (XLOOKUP(S$2, Weightings!$C$2:$C$36, Weightings!$I$2:$I$36,"",1))</f>
        <v>0.52</v>
      </c>
      <c r="T9" s="6">
        <f t="array" ref="T9">(XLOOKUP(Players!$F8, Scoring!$A:$A, Scoring!$B:$B,"",1)) * (XLOOKUP(T$2, Weightings!$C$2:$C$36, Weightings!$I$2:$I$36,"",1))</f>
        <v>2.08</v>
      </c>
      <c r="U9" s="6">
        <f t="array" ref="U9">(XLOOKUP(Players!$F8, Scoring!$A:$A, Scoring!$B:$B,"",1)) * (XLOOKUP(U$2, Weightings!$C$2:$C$36, Weightings!$I$2:$I$36,"",1))</f>
        <v>1.04</v>
      </c>
      <c r="V9" s="6">
        <f t="array" ref="V9">(XLOOKUP(Players!$G8, Scoring!$A:$A, Scoring!$B:$B,"",1)) * (XLOOKUP(V$2, Weightings!$C$2:$C$36, Weightings!$I$2:$I$36,"",1))</f>
        <v>2.6</v>
      </c>
      <c r="W9" s="6">
        <f t="array" ref="W9">(XLOOKUP(Players!$G8, Scoring!$A:$A, Scoring!$B:$B,"",1)) * (XLOOKUP(W$2, Weightings!$C$2:$C$36, Weightings!$I$2:$I$36,"",1))</f>
        <v>1.56</v>
      </c>
      <c r="X9" s="6">
        <f t="array" ref="X9">(XLOOKUP(Players!$G8, Scoring!$A:$A, Scoring!$B:$B,"",1)) * (XLOOKUP(X$2, Weightings!$C$2:$C$36, Weightings!$I$2:$I$36,"",1))</f>
        <v>2.6</v>
      </c>
      <c r="Y9" s="6">
        <f t="array" ref="Y9">(XLOOKUP(Players!$G8, Scoring!$A:$A, Scoring!$B:$B,"",1)) * (XLOOKUP(Y$2, Weightings!$C$2:$C$36, Weightings!$I$2:$I$36,"",1))</f>
        <v>2.08</v>
      </c>
      <c r="Z9" s="6">
        <f t="array" ref="Z9">(XLOOKUP(Players!$G8, Scoring!$A:$A, Scoring!$B:$B,"",1)) * (XLOOKUP(Z$2, Weightings!$C$2:$C$36, Weightings!$I$2:$I$36,"",1))</f>
        <v>1.56</v>
      </c>
      <c r="AA9" s="6">
        <f t="array" ref="AA9">(XLOOKUP(Players!$G8, Scoring!$A:$A, Scoring!$B:$B,"",1)) * (XLOOKUP(AA$2, Weightings!$C$2:$C$36, Weightings!$I$2:$I$36,"",1))</f>
        <v>2.6</v>
      </c>
      <c r="AB9" s="6">
        <f t="array" ref="AB9">(XLOOKUP(Players!$H8, Scoring!$A:$A, Scoring!$B:$B,"",1)) * (XLOOKUP(AB$2, Weightings!$C$2:$C$36, Weightings!$I$2:$I$36,"",1))</f>
        <v>1.56</v>
      </c>
      <c r="AC9" s="6">
        <f t="array" ref="AC9">(XLOOKUP(Players!$H8, Scoring!$A:$A, Scoring!$B:$B,"",1)) * (XLOOKUP(AC$2, Weightings!$C$2:$C$36, Weightings!$I$2:$I$36,"",1))</f>
        <v>2.6</v>
      </c>
      <c r="AD9" s="6">
        <f t="array" ref="AD9">(XLOOKUP(Players!$I8, Scoring!$A:$A, Scoring!$B:$B,"",1)) * (XLOOKUP(AD$2, Weightings!$C$2:$C$36, Weightings!$I$2:$I$36,"",1))</f>
        <v>2.8</v>
      </c>
      <c r="AE9" s="6">
        <f t="array" ref="AE9">(XLOOKUP(Players!$I8, Scoring!$A:$A, Scoring!$B:$B,"",1)) * (XLOOKUP(AE$2, Weightings!$C$2:$C$36, Weightings!$I$2:$I$36,"",1))</f>
        <v>4.9</v>
      </c>
      <c r="AF9" s="6">
        <f t="array" ref="AF9">(XLOOKUP(Players!$I8, Scoring!$A:$A, Scoring!$B:$B,"",1)) * (XLOOKUP(AF$2, Weightings!$C$2:$C$36, Weightings!$I$2:$I$36,"",1))</f>
        <v>2.1</v>
      </c>
      <c r="AG9" s="6">
        <f t="array" ref="AG9">(XLOOKUP(Players!$I8, Scoring!$A:$A, Scoring!$B:$B,"",1)) * (XLOOKUP(AG$2, Weightings!$C$2:$C$36, Weightings!$I$2:$I$36,"",1))</f>
        <v>2.1</v>
      </c>
      <c r="AH9" s="6">
        <f t="array" ref="AH9">(XLOOKUP(Players!$J8, Scoring!$A:$A, Scoring!$B:$B,"",1)) * (XLOOKUP(AH$2, Weightings!$C$2:$C$36, Weightings!$I$2:$I$36,"",1))</f>
        <v>1.4</v>
      </c>
      <c r="AI9" s="6">
        <f t="array" ref="AI9">(XLOOKUP(Players!$J8, Scoring!$A:$A, Scoring!$B:$B,"",1)) * (XLOOKUP(AI$2, Weightings!$C$2:$C$36, Weightings!$I$2:$I$36,"",1))</f>
        <v>1.4</v>
      </c>
      <c r="AJ9" s="6">
        <f t="array" ref="AJ9">(XLOOKUP(Players!$J8, Scoring!$A:$A, Scoring!$B:$B,"",1)) * (XLOOKUP(AJ$2, Weightings!$C$2:$C$36, Weightings!$I$2:$I$36,"",1))</f>
        <v>0.35</v>
      </c>
      <c r="AK9" s="6">
        <f t="shared" si="1"/>
        <v>53.53</v>
      </c>
    </row>
    <row r="10">
      <c r="A10" s="4" t="s">
        <v>24</v>
      </c>
      <c r="B10" s="6">
        <f t="array" ref="B10">(XLOOKUP(Players!$B9, Scoring!$A:$A, Scoring!$B:$B,"",1)) * (XLOOKUP(B$2, Weightings!$C$2:$C$36, Weightings!$I$2:$I$36,"",1))</f>
        <v>2.08</v>
      </c>
      <c r="C10" s="6">
        <f t="array" ref="C10">(XLOOKUP(Players!$B9, Scoring!$A:$A, Scoring!$B:$B,"",1)) * (XLOOKUP(C$2, Weightings!$C$2:$C$36, Weightings!$I$2:$I$36,"",1))</f>
        <v>1.04</v>
      </c>
      <c r="D10" s="6">
        <f t="array" ref="D10">(XLOOKUP(Players!$B9, Scoring!$A:$A, Scoring!$B:$B,"",1)) * (XLOOKUP(D$2, Weightings!$C$2:$C$36, Weightings!$I$2:$I$36,"",1))</f>
        <v>0</v>
      </c>
      <c r="E10" s="6">
        <f t="array" ref="E10">(XLOOKUP(Players!$B9, Scoring!$A:$A, Scoring!$B:$B,"",1)) * (XLOOKUP(E$2, Weightings!$C$2:$C$36, Weightings!$I$2:$I$36,"",1))</f>
        <v>1.04</v>
      </c>
      <c r="F10" s="6">
        <f t="array" ref="F10">(XLOOKUP(Players!$C9, Scoring!$A:$A, Scoring!$B:$B,"",1)) * (XLOOKUP(F$2, Weightings!$C$2:$C$36, Weightings!$I$2:$I$36,"",1))</f>
        <v>2.6</v>
      </c>
      <c r="G10" s="6">
        <f t="array" ref="G10">(XLOOKUP(Players!$C9, Scoring!$A:$A, Scoring!$B:$B,"",1)) * (XLOOKUP(G$2, Weightings!$C$2:$C$36, Weightings!$I$2:$I$36,"",1))</f>
        <v>2.6</v>
      </c>
      <c r="H10" s="6">
        <f t="array" ref="H10">(XLOOKUP(Players!$C9, Scoring!$A:$A, Scoring!$B:$B,"",1)) * (XLOOKUP(H$2, Weightings!$C$2:$C$36, Weightings!$I$2:$I$36,"",1))</f>
        <v>1.04</v>
      </c>
      <c r="I10" s="6">
        <f t="array" ref="I10">(XLOOKUP(Players!$D9, Scoring!$A:$A, Scoring!$B:$B,"",1)) * (XLOOKUP(I$2, Weightings!$C$2:$C$36, Weightings!$I$2:$I$36,"",1))</f>
        <v>0.7</v>
      </c>
      <c r="J10" s="6">
        <f t="array" ref="J10">(XLOOKUP(Players!$D9, Scoring!$A:$A, Scoring!$B:$B,"",1)) * (XLOOKUP(J$2, Weightings!$C$2:$C$36, Weightings!$I$2:$I$36,"",1))</f>
        <v>0.7</v>
      </c>
      <c r="K10" s="6">
        <f t="array" ref="K10">(XLOOKUP(Players!$D9, Scoring!$A:$A, Scoring!$B:$B,"",1)) * (XLOOKUP(K$2, Weightings!$C$2:$C$36, Weightings!$I$2:$I$36,"",1))</f>
        <v>0.35</v>
      </c>
      <c r="L10" s="6">
        <f t="array" ref="L10">(XLOOKUP(Players!$D9, Scoring!$A:$A, Scoring!$B:$B,"",1)) * (XLOOKUP(L$2, Weightings!$C$2:$C$36, Weightings!$I$2:$I$36,"",1))</f>
        <v>1.05</v>
      </c>
      <c r="M10" s="6">
        <f t="array" ref="M10">(XLOOKUP(Players!$E9, Scoring!$A:$A, Scoring!$B:$B,"",1)) * (XLOOKUP(M$2, Weightings!$C$2:$C$36, Weightings!$I$2:$I$36,"",1))</f>
        <v>1.05</v>
      </c>
      <c r="N10" s="6">
        <f t="array" ref="N10">(XLOOKUP(Players!$E9, Scoring!$A:$A, Scoring!$B:$B,"",1)) * (XLOOKUP(N$2, Weightings!$C$2:$C$36, Weightings!$I$2:$I$36,"",1))</f>
        <v>0</v>
      </c>
      <c r="O10" s="6">
        <f t="array" ref="O10">(XLOOKUP(Players!$E9, Scoring!$A:$A, Scoring!$B:$B,"",1)) * (XLOOKUP(O$2, Weightings!$C$2:$C$36, Weightings!$I$2:$I$36,"",1))</f>
        <v>0</v>
      </c>
      <c r="P10" s="6">
        <f t="array" ref="P10">(XLOOKUP(Players!$E9, Scoring!$A:$A, Scoring!$B:$B,"",1)) * (XLOOKUP(P$2, Weightings!$C$2:$C$36, Weightings!$I$2:$I$36,"",1))</f>
        <v>0</v>
      </c>
      <c r="Q10" s="6">
        <f t="array" ref="Q10">(XLOOKUP(Players!$E9, Scoring!$A:$A, Scoring!$B:$B,"",1)) * (XLOOKUP(Q$2, Weightings!$C$2:$C$36, Weightings!$I$2:$I$36,"",1))</f>
        <v>0</v>
      </c>
      <c r="R10" s="6">
        <f t="array" ref="R10">(XLOOKUP(Players!$F9, Scoring!$A:$A, Scoring!$B:$B,"",1)) * (XLOOKUP(R$2, Weightings!$C$2:$C$36, Weightings!$I$2:$I$36,"",1))</f>
        <v>1.56</v>
      </c>
      <c r="S10" s="6">
        <f t="array" ref="S10">(XLOOKUP(Players!$F9, Scoring!$A:$A, Scoring!$B:$B,"",1)) * (XLOOKUP(S$2, Weightings!$C$2:$C$36, Weightings!$I$2:$I$36,"",1))</f>
        <v>0.52</v>
      </c>
      <c r="T10" s="6">
        <f t="array" ref="T10">(XLOOKUP(Players!$F9, Scoring!$A:$A, Scoring!$B:$B,"",1)) * (XLOOKUP(T$2, Weightings!$C$2:$C$36, Weightings!$I$2:$I$36,"",1))</f>
        <v>2.08</v>
      </c>
      <c r="U10" s="6">
        <f t="array" ref="U10">(XLOOKUP(Players!$F9, Scoring!$A:$A, Scoring!$B:$B,"",1)) * (XLOOKUP(U$2, Weightings!$C$2:$C$36, Weightings!$I$2:$I$36,"",1))</f>
        <v>1.04</v>
      </c>
      <c r="V10" s="6">
        <f t="array" ref="V10">(XLOOKUP(Players!$G9, Scoring!$A:$A, Scoring!$B:$B,"",1)) * (XLOOKUP(V$2, Weightings!$C$2:$C$36, Weightings!$I$2:$I$36,"",1))</f>
        <v>2.6</v>
      </c>
      <c r="W10" s="6">
        <f t="array" ref="W10">(XLOOKUP(Players!$G9, Scoring!$A:$A, Scoring!$B:$B,"",1)) * (XLOOKUP(W$2, Weightings!$C$2:$C$36, Weightings!$I$2:$I$36,"",1))</f>
        <v>1.56</v>
      </c>
      <c r="X10" s="6">
        <f t="array" ref="X10">(XLOOKUP(Players!$G9, Scoring!$A:$A, Scoring!$B:$B,"",1)) * (XLOOKUP(X$2, Weightings!$C$2:$C$36, Weightings!$I$2:$I$36,"",1))</f>
        <v>2.6</v>
      </c>
      <c r="Y10" s="6">
        <f t="array" ref="Y10">(XLOOKUP(Players!$G9, Scoring!$A:$A, Scoring!$B:$B,"",1)) * (XLOOKUP(Y$2, Weightings!$C$2:$C$36, Weightings!$I$2:$I$36,"",1))</f>
        <v>2.08</v>
      </c>
      <c r="Z10" s="6">
        <f t="array" ref="Z10">(XLOOKUP(Players!$G9, Scoring!$A:$A, Scoring!$B:$B,"",1)) * (XLOOKUP(Z$2, Weightings!$C$2:$C$36, Weightings!$I$2:$I$36,"",1))</f>
        <v>1.56</v>
      </c>
      <c r="AA10" s="6">
        <f t="array" ref="AA10">(XLOOKUP(Players!$G9, Scoring!$A:$A, Scoring!$B:$B,"",1)) * (XLOOKUP(AA$2, Weightings!$C$2:$C$36, Weightings!$I$2:$I$36,"",1))</f>
        <v>2.6</v>
      </c>
      <c r="AB10" s="6">
        <f t="array" ref="AB10">(XLOOKUP(Players!$H9, Scoring!$A:$A, Scoring!$B:$B,"",1)) * (XLOOKUP(AB$2, Weightings!$C$2:$C$36, Weightings!$I$2:$I$36,"",1))</f>
        <v>0.54</v>
      </c>
      <c r="AC10" s="6">
        <f t="array" ref="AC10">(XLOOKUP(Players!$H9, Scoring!$A:$A, Scoring!$B:$B,"",1)) * (XLOOKUP(AC$2, Weightings!$C$2:$C$36, Weightings!$I$2:$I$36,"",1))</f>
        <v>0.9</v>
      </c>
      <c r="AD10" s="6">
        <f t="array" ref="AD10">(XLOOKUP(Players!$I9, Scoring!$A:$A, Scoring!$B:$B,"",1)) * (XLOOKUP(AD$2, Weightings!$C$2:$C$36, Weightings!$I$2:$I$36,"",1))</f>
        <v>1.4</v>
      </c>
      <c r="AE10" s="6">
        <f t="array" ref="AE10">(XLOOKUP(Players!$I9, Scoring!$A:$A, Scoring!$B:$B,"",1)) * (XLOOKUP(AE$2, Weightings!$C$2:$C$36, Weightings!$I$2:$I$36,"",1))</f>
        <v>2.45</v>
      </c>
      <c r="AF10" s="6">
        <f t="array" ref="AF10">(XLOOKUP(Players!$I9, Scoring!$A:$A, Scoring!$B:$B,"",1)) * (XLOOKUP(AF$2, Weightings!$C$2:$C$36, Weightings!$I$2:$I$36,"",1))</f>
        <v>1.05</v>
      </c>
      <c r="AG10" s="6">
        <f t="array" ref="AG10">(XLOOKUP(Players!$I9, Scoring!$A:$A, Scoring!$B:$B,"",1)) * (XLOOKUP(AG$2, Weightings!$C$2:$C$36, Weightings!$I$2:$I$36,"",1))</f>
        <v>1.05</v>
      </c>
      <c r="AH10" s="6">
        <f t="array" ref="AH10">(XLOOKUP(Players!$J9, Scoring!$A:$A, Scoring!$B:$B,"",1)) * (XLOOKUP(AH$2, Weightings!$C$2:$C$36, Weightings!$I$2:$I$36,"",1))</f>
        <v>1.4</v>
      </c>
      <c r="AI10" s="6">
        <f t="array" ref="AI10">(XLOOKUP(Players!$J9, Scoring!$A:$A, Scoring!$B:$B,"",1)) * (XLOOKUP(AI$2, Weightings!$C$2:$C$36, Weightings!$I$2:$I$36,"",1))</f>
        <v>1.4</v>
      </c>
      <c r="AJ10" s="6">
        <f t="array" ref="AJ10">(XLOOKUP(Players!$J9, Scoring!$A:$A, Scoring!$B:$B,"",1)) * (XLOOKUP(AJ$2, Weightings!$C$2:$C$36, Weightings!$I$2:$I$36,"",1))</f>
        <v>0.35</v>
      </c>
      <c r="AK10" s="6">
        <f t="shared" si="1"/>
        <v>42.99</v>
      </c>
    </row>
    <row r="11">
      <c r="A11" s="4" t="s">
        <v>25</v>
      </c>
      <c r="B11" s="6">
        <f t="array" ref="B11">(XLOOKUP(Players!$B10, Scoring!$A:$A, Scoring!$B:$B,"",1)) * (XLOOKUP(B$2, Weightings!$C$2:$C$36, Weightings!$I$2:$I$36,"",1))</f>
        <v>2.08</v>
      </c>
      <c r="C11" s="6">
        <f t="array" ref="C11">(XLOOKUP(Players!$B10, Scoring!$A:$A, Scoring!$B:$B,"",1)) * (XLOOKUP(C$2, Weightings!$C$2:$C$36, Weightings!$I$2:$I$36,"",1))</f>
        <v>1.04</v>
      </c>
      <c r="D11" s="6">
        <f t="array" ref="D11">(XLOOKUP(Players!$B10, Scoring!$A:$A, Scoring!$B:$B,"",1)) * (XLOOKUP(D$2, Weightings!$C$2:$C$36, Weightings!$I$2:$I$36,"",1))</f>
        <v>0</v>
      </c>
      <c r="E11" s="6">
        <f t="array" ref="E11">(XLOOKUP(Players!$B10, Scoring!$A:$A, Scoring!$B:$B,"",1)) * (XLOOKUP(E$2, Weightings!$C$2:$C$36, Weightings!$I$2:$I$36,"",1))</f>
        <v>1.04</v>
      </c>
      <c r="F11" s="6">
        <f t="array" ref="F11">(XLOOKUP(Players!$C10, Scoring!$A:$A, Scoring!$B:$B,"",1)) * (XLOOKUP(F$2, Weightings!$C$2:$C$36, Weightings!$I$2:$I$36,"",1))</f>
        <v>2.6</v>
      </c>
      <c r="G11" s="6">
        <f t="array" ref="G11">(XLOOKUP(Players!$C10, Scoring!$A:$A, Scoring!$B:$B,"",1)) * (XLOOKUP(G$2, Weightings!$C$2:$C$36, Weightings!$I$2:$I$36,"",1))</f>
        <v>2.6</v>
      </c>
      <c r="H11" s="6">
        <f t="array" ref="H11">(XLOOKUP(Players!$C10, Scoring!$A:$A, Scoring!$B:$B,"",1)) * (XLOOKUP(H$2, Weightings!$C$2:$C$36, Weightings!$I$2:$I$36,"",1))</f>
        <v>1.04</v>
      </c>
      <c r="I11" s="6">
        <f t="array" ref="I11">(XLOOKUP(Players!$D10, Scoring!$A:$A, Scoring!$B:$B,"",1)) * (XLOOKUP(I$2, Weightings!$C$2:$C$36, Weightings!$I$2:$I$36,"",1))</f>
        <v>1.04</v>
      </c>
      <c r="J11" s="6">
        <f t="array" ref="J11">(XLOOKUP(Players!$D10, Scoring!$A:$A, Scoring!$B:$B,"",1)) * (XLOOKUP(J$2, Weightings!$C$2:$C$36, Weightings!$I$2:$I$36,"",1))</f>
        <v>1.04</v>
      </c>
      <c r="K11" s="6">
        <f t="array" ref="K11">(XLOOKUP(Players!$D10, Scoring!$A:$A, Scoring!$B:$B,"",1)) * (XLOOKUP(K$2, Weightings!$C$2:$C$36, Weightings!$I$2:$I$36,"",1))</f>
        <v>0.52</v>
      </c>
      <c r="L11" s="6">
        <f t="array" ref="L11">(XLOOKUP(Players!$D10, Scoring!$A:$A, Scoring!$B:$B,"",1)) * (XLOOKUP(L$2, Weightings!$C$2:$C$36, Weightings!$I$2:$I$36,"",1))</f>
        <v>1.56</v>
      </c>
      <c r="M11" s="6">
        <f t="array" ref="M11">(XLOOKUP(Players!$E10, Scoring!$A:$A, Scoring!$B:$B,"",1)) * (XLOOKUP(M$2, Weightings!$C$2:$C$36, Weightings!$I$2:$I$36,"",1))</f>
        <v>1.05</v>
      </c>
      <c r="N11" s="6">
        <f t="array" ref="N11">(XLOOKUP(Players!$E10, Scoring!$A:$A, Scoring!$B:$B,"",1)) * (XLOOKUP(N$2, Weightings!$C$2:$C$36, Weightings!$I$2:$I$36,"",1))</f>
        <v>0</v>
      </c>
      <c r="O11" s="6">
        <f t="array" ref="O11">(XLOOKUP(Players!$E10, Scoring!$A:$A, Scoring!$B:$B,"",1)) * (XLOOKUP(O$2, Weightings!$C$2:$C$36, Weightings!$I$2:$I$36,"",1))</f>
        <v>0</v>
      </c>
      <c r="P11" s="6">
        <f t="array" ref="P11">(XLOOKUP(Players!$E10, Scoring!$A:$A, Scoring!$B:$B,"",1)) * (XLOOKUP(P$2, Weightings!$C$2:$C$36, Weightings!$I$2:$I$36,"",1))</f>
        <v>0</v>
      </c>
      <c r="Q11" s="6">
        <f t="array" ref="Q11">(XLOOKUP(Players!$E10, Scoring!$A:$A, Scoring!$B:$B,"",1)) * (XLOOKUP(Q$2, Weightings!$C$2:$C$36, Weightings!$I$2:$I$36,"",1))</f>
        <v>0</v>
      </c>
      <c r="R11" s="6">
        <f t="array" ref="R11">(XLOOKUP(Players!$F10, Scoring!$A:$A, Scoring!$B:$B,"",1)) * (XLOOKUP(R$2, Weightings!$C$2:$C$36, Weightings!$I$2:$I$36,"",1))</f>
        <v>1.56</v>
      </c>
      <c r="S11" s="6">
        <f t="array" ref="S11">(XLOOKUP(Players!$F10, Scoring!$A:$A, Scoring!$B:$B,"",1)) * (XLOOKUP(S$2, Weightings!$C$2:$C$36, Weightings!$I$2:$I$36,"",1))</f>
        <v>0.52</v>
      </c>
      <c r="T11" s="6">
        <f t="array" ref="T11">(XLOOKUP(Players!$F10, Scoring!$A:$A, Scoring!$B:$B,"",1)) * (XLOOKUP(T$2, Weightings!$C$2:$C$36, Weightings!$I$2:$I$36,"",1))</f>
        <v>2.08</v>
      </c>
      <c r="U11" s="6">
        <f t="array" ref="U11">(XLOOKUP(Players!$F10, Scoring!$A:$A, Scoring!$B:$B,"",1)) * (XLOOKUP(U$2, Weightings!$C$2:$C$36, Weightings!$I$2:$I$36,"",1))</f>
        <v>1.04</v>
      </c>
      <c r="V11" s="6">
        <f t="array" ref="V11">(XLOOKUP(Players!$G10, Scoring!$A:$A, Scoring!$B:$B,"",1)) * (XLOOKUP(V$2, Weightings!$C$2:$C$36, Weightings!$I$2:$I$36,"",1))</f>
        <v>1.75</v>
      </c>
      <c r="W11" s="6">
        <f t="array" ref="W11">(XLOOKUP(Players!$G10, Scoring!$A:$A, Scoring!$B:$B,"",1)) * (XLOOKUP(W$2, Weightings!$C$2:$C$36, Weightings!$I$2:$I$36,"",1))</f>
        <v>1.05</v>
      </c>
      <c r="X11" s="6">
        <f t="array" ref="X11">(XLOOKUP(Players!$G10, Scoring!$A:$A, Scoring!$B:$B,"",1)) * (XLOOKUP(X$2, Weightings!$C$2:$C$36, Weightings!$I$2:$I$36,"",1))</f>
        <v>1.75</v>
      </c>
      <c r="Y11" s="6">
        <f t="array" ref="Y11">(XLOOKUP(Players!$G10, Scoring!$A:$A, Scoring!$B:$B,"",1)) * (XLOOKUP(Y$2, Weightings!$C$2:$C$36, Weightings!$I$2:$I$36,"",1))</f>
        <v>1.4</v>
      </c>
      <c r="Z11" s="6">
        <f t="array" ref="Z11">(XLOOKUP(Players!$G10, Scoring!$A:$A, Scoring!$B:$B,"",1)) * (XLOOKUP(Z$2, Weightings!$C$2:$C$36, Weightings!$I$2:$I$36,"",1))</f>
        <v>1.05</v>
      </c>
      <c r="AA11" s="6">
        <f t="array" ref="AA11">(XLOOKUP(Players!$G10, Scoring!$A:$A, Scoring!$B:$B,"",1)) * (XLOOKUP(AA$2, Weightings!$C$2:$C$36, Weightings!$I$2:$I$36,"",1))</f>
        <v>1.75</v>
      </c>
      <c r="AB11" s="6">
        <f t="array" ref="AB11">(XLOOKUP(Players!$H10, Scoring!$A:$A, Scoring!$B:$B,"",1)) * (XLOOKUP(AB$2, Weightings!$C$2:$C$36, Weightings!$I$2:$I$36,"",1))</f>
        <v>1.56</v>
      </c>
      <c r="AC11" s="6">
        <f t="array" ref="AC11">(XLOOKUP(Players!$H10, Scoring!$A:$A, Scoring!$B:$B,"",1)) * (XLOOKUP(AC$2, Weightings!$C$2:$C$36, Weightings!$I$2:$I$36,"",1))</f>
        <v>2.6</v>
      </c>
      <c r="AD11" s="6">
        <f t="array" ref="AD11">(XLOOKUP(Players!$I10, Scoring!$A:$A, Scoring!$B:$B,"",1)) * (XLOOKUP(AD$2, Weightings!$C$2:$C$36, Weightings!$I$2:$I$36,"",1))</f>
        <v>2.08</v>
      </c>
      <c r="AE11" s="6">
        <f t="array" ref="AE11">(XLOOKUP(Players!$I10, Scoring!$A:$A, Scoring!$B:$B,"",1)) * (XLOOKUP(AE$2, Weightings!$C$2:$C$36, Weightings!$I$2:$I$36,"",1))</f>
        <v>3.64</v>
      </c>
      <c r="AF11" s="6">
        <f t="array" ref="AF11">(XLOOKUP(Players!$I10, Scoring!$A:$A, Scoring!$B:$B,"",1)) * (XLOOKUP(AF$2, Weightings!$C$2:$C$36, Weightings!$I$2:$I$36,"",1))</f>
        <v>1.56</v>
      </c>
      <c r="AG11" s="6">
        <f t="array" ref="AG11">(XLOOKUP(Players!$I10, Scoring!$A:$A, Scoring!$B:$B,"",1)) * (XLOOKUP(AG$2, Weightings!$C$2:$C$36, Weightings!$I$2:$I$36,"",1))</f>
        <v>1.56</v>
      </c>
      <c r="AH11" s="6">
        <f t="array" ref="AH11">(XLOOKUP(Players!$J10, Scoring!$A:$A, Scoring!$B:$B,"",1)) * (XLOOKUP(AH$2, Weightings!$C$2:$C$36, Weightings!$I$2:$I$36,"",1))</f>
        <v>1.4</v>
      </c>
      <c r="AI11" s="6">
        <f t="array" ref="AI11">(XLOOKUP(Players!$J10, Scoring!$A:$A, Scoring!$B:$B,"",1)) * (XLOOKUP(AI$2, Weightings!$C$2:$C$36, Weightings!$I$2:$I$36,"",1))</f>
        <v>1.4</v>
      </c>
      <c r="AJ11" s="6">
        <f t="array" ref="AJ11">(XLOOKUP(Players!$J10, Scoring!$A:$A, Scoring!$B:$B,"",1)) * (XLOOKUP(AJ$2, Weightings!$C$2:$C$36, Weightings!$I$2:$I$36,"",1))</f>
        <v>0.35</v>
      </c>
      <c r="AK11" s="6">
        <f t="shared" si="1"/>
        <v>45.71</v>
      </c>
    </row>
    <row r="12">
      <c r="A12" s="4" t="s">
        <v>26</v>
      </c>
      <c r="B12" s="6">
        <f t="array" ref="B12">(XLOOKUP(Players!$B11, Scoring!$A:$A, Scoring!$B:$B,"",1)) * (XLOOKUP(B$2, Weightings!$C$2:$C$36, Weightings!$I$2:$I$36,"",1))</f>
        <v>2.08</v>
      </c>
      <c r="C12" s="6">
        <f t="array" ref="C12">(XLOOKUP(Players!$B11, Scoring!$A:$A, Scoring!$B:$B,"",1)) * (XLOOKUP(C$2, Weightings!$C$2:$C$36, Weightings!$I$2:$I$36,"",1))</f>
        <v>1.04</v>
      </c>
      <c r="D12" s="6">
        <f t="array" ref="D12">(XLOOKUP(Players!$B11, Scoring!$A:$A, Scoring!$B:$B,"",1)) * (XLOOKUP(D$2, Weightings!$C$2:$C$36, Weightings!$I$2:$I$36,"",1))</f>
        <v>0</v>
      </c>
      <c r="E12" s="6">
        <f t="array" ref="E12">(XLOOKUP(Players!$B11, Scoring!$A:$A, Scoring!$B:$B,"",1)) * (XLOOKUP(E$2, Weightings!$C$2:$C$36, Weightings!$I$2:$I$36,"",1))</f>
        <v>1.04</v>
      </c>
      <c r="F12" s="6">
        <f t="array" ref="F12">(XLOOKUP(Players!$C11, Scoring!$A:$A, Scoring!$B:$B,"",1)) * (XLOOKUP(F$2, Weightings!$C$2:$C$36, Weightings!$I$2:$I$36,"",1))</f>
        <v>1.75</v>
      </c>
      <c r="G12" s="6">
        <f t="array" ref="G12">(XLOOKUP(Players!$C11, Scoring!$A:$A, Scoring!$B:$B,"",1)) * (XLOOKUP(G$2, Weightings!$C$2:$C$36, Weightings!$I$2:$I$36,"",1))</f>
        <v>1.75</v>
      </c>
      <c r="H12" s="6">
        <f t="array" ref="H12">(XLOOKUP(Players!$C11, Scoring!$A:$A, Scoring!$B:$B,"",1)) * (XLOOKUP(H$2, Weightings!$C$2:$C$36, Weightings!$I$2:$I$36,"",1))</f>
        <v>0.7</v>
      </c>
      <c r="I12" s="6">
        <f t="array" ref="I12">(XLOOKUP(Players!$D11, Scoring!$A:$A, Scoring!$B:$B,"",1)) * (XLOOKUP(I$2, Weightings!$C$2:$C$36, Weightings!$I$2:$I$36,"",1))</f>
        <v>0.7</v>
      </c>
      <c r="J12" s="6">
        <f t="array" ref="J12">(XLOOKUP(Players!$D11, Scoring!$A:$A, Scoring!$B:$B,"",1)) * (XLOOKUP(J$2, Weightings!$C$2:$C$36, Weightings!$I$2:$I$36,"",1))</f>
        <v>0.7</v>
      </c>
      <c r="K12" s="6">
        <f t="array" ref="K12">(XLOOKUP(Players!$D11, Scoring!$A:$A, Scoring!$B:$B,"",1)) * (XLOOKUP(K$2, Weightings!$C$2:$C$36, Weightings!$I$2:$I$36,"",1))</f>
        <v>0.35</v>
      </c>
      <c r="L12" s="6">
        <f t="array" ref="L12">(XLOOKUP(Players!$D11, Scoring!$A:$A, Scoring!$B:$B,"",1)) * (XLOOKUP(L$2, Weightings!$C$2:$C$36, Weightings!$I$2:$I$36,"",1))</f>
        <v>1.05</v>
      </c>
      <c r="M12" s="6">
        <f t="array" ref="M12">(XLOOKUP(Players!$E11, Scoring!$A:$A, Scoring!$B:$B,"",1)) * (XLOOKUP(M$2, Weightings!$C$2:$C$36, Weightings!$I$2:$I$36,"",1))</f>
        <v>1.05</v>
      </c>
      <c r="N12" s="6">
        <f t="array" ref="N12">(XLOOKUP(Players!$E11, Scoring!$A:$A, Scoring!$B:$B,"",1)) * (XLOOKUP(N$2, Weightings!$C$2:$C$36, Weightings!$I$2:$I$36,"",1))</f>
        <v>0</v>
      </c>
      <c r="O12" s="6">
        <f t="array" ref="O12">(XLOOKUP(Players!$E11, Scoring!$A:$A, Scoring!$B:$B,"",1)) * (XLOOKUP(O$2, Weightings!$C$2:$C$36, Weightings!$I$2:$I$36,"",1))</f>
        <v>0</v>
      </c>
      <c r="P12" s="6">
        <f t="array" ref="P12">(XLOOKUP(Players!$E11, Scoring!$A:$A, Scoring!$B:$B,"",1)) * (XLOOKUP(P$2, Weightings!$C$2:$C$36, Weightings!$I$2:$I$36,"",1))</f>
        <v>0</v>
      </c>
      <c r="Q12" s="6">
        <f t="array" ref="Q12">(XLOOKUP(Players!$E11, Scoring!$A:$A, Scoring!$B:$B,"",1)) * (XLOOKUP(Q$2, Weightings!$C$2:$C$36, Weightings!$I$2:$I$36,"",1))</f>
        <v>0</v>
      </c>
      <c r="R12" s="6">
        <f t="array" ref="R12">(XLOOKUP(Players!$F11, Scoring!$A:$A, Scoring!$B:$B,"",1)) * (XLOOKUP(R$2, Weightings!$C$2:$C$36, Weightings!$I$2:$I$36,"",1))</f>
        <v>1.05</v>
      </c>
      <c r="S12" s="6">
        <f t="array" ref="S12">(XLOOKUP(Players!$F11, Scoring!$A:$A, Scoring!$B:$B,"",1)) * (XLOOKUP(S$2, Weightings!$C$2:$C$36, Weightings!$I$2:$I$36,"",1))</f>
        <v>0.35</v>
      </c>
      <c r="T12" s="6">
        <f t="array" ref="T12">(XLOOKUP(Players!$F11, Scoring!$A:$A, Scoring!$B:$B,"",1)) * (XLOOKUP(T$2, Weightings!$C$2:$C$36, Weightings!$I$2:$I$36,"",1))</f>
        <v>1.4</v>
      </c>
      <c r="U12" s="6">
        <f t="array" ref="U12">(XLOOKUP(Players!$F11, Scoring!$A:$A, Scoring!$B:$B,"",1)) * (XLOOKUP(U$2, Weightings!$C$2:$C$36, Weightings!$I$2:$I$36,"",1))</f>
        <v>0.7</v>
      </c>
      <c r="V12" s="6">
        <f t="array" ref="V12">(XLOOKUP(Players!$G11, Scoring!$A:$A, Scoring!$B:$B,"",1)) * (XLOOKUP(V$2, Weightings!$C$2:$C$36, Weightings!$I$2:$I$36,"",1))</f>
        <v>2.6</v>
      </c>
      <c r="W12" s="6">
        <f t="array" ref="W12">(XLOOKUP(Players!$G11, Scoring!$A:$A, Scoring!$B:$B,"",1)) * (XLOOKUP(W$2, Weightings!$C$2:$C$36, Weightings!$I$2:$I$36,"",1))</f>
        <v>1.56</v>
      </c>
      <c r="X12" s="6">
        <f t="array" ref="X12">(XLOOKUP(Players!$G11, Scoring!$A:$A, Scoring!$B:$B,"",1)) * (XLOOKUP(X$2, Weightings!$C$2:$C$36, Weightings!$I$2:$I$36,"",1))</f>
        <v>2.6</v>
      </c>
      <c r="Y12" s="6">
        <f t="array" ref="Y12">(XLOOKUP(Players!$G11, Scoring!$A:$A, Scoring!$B:$B,"",1)) * (XLOOKUP(Y$2, Weightings!$C$2:$C$36, Weightings!$I$2:$I$36,"",1))</f>
        <v>2.08</v>
      </c>
      <c r="Z12" s="6">
        <f t="array" ref="Z12">(XLOOKUP(Players!$G11, Scoring!$A:$A, Scoring!$B:$B,"",1)) * (XLOOKUP(Z$2, Weightings!$C$2:$C$36, Weightings!$I$2:$I$36,"",1))</f>
        <v>1.56</v>
      </c>
      <c r="AA12" s="6">
        <f t="array" ref="AA12">(XLOOKUP(Players!$G11, Scoring!$A:$A, Scoring!$B:$B,"",1)) * (XLOOKUP(AA$2, Weightings!$C$2:$C$36, Weightings!$I$2:$I$36,"",1))</f>
        <v>2.6</v>
      </c>
      <c r="AB12" s="6">
        <f t="array" ref="AB12">(XLOOKUP(Players!$H11, Scoring!$A:$A, Scoring!$B:$B,"",1)) * (XLOOKUP(AB$2, Weightings!$C$2:$C$36, Weightings!$I$2:$I$36,"",1))</f>
        <v>1.56</v>
      </c>
      <c r="AC12" s="6">
        <f t="array" ref="AC12">(XLOOKUP(Players!$H11, Scoring!$A:$A, Scoring!$B:$B,"",1)) * (XLOOKUP(AC$2, Weightings!$C$2:$C$36, Weightings!$I$2:$I$36,"",1))</f>
        <v>2.6</v>
      </c>
      <c r="AD12" s="6">
        <f t="array" ref="AD12">(XLOOKUP(Players!$I11, Scoring!$A:$A, Scoring!$B:$B,"",1)) * (XLOOKUP(AD$2, Weightings!$C$2:$C$36, Weightings!$I$2:$I$36,"",1))</f>
        <v>1.4</v>
      </c>
      <c r="AE12" s="6">
        <f t="array" ref="AE12">(XLOOKUP(Players!$I11, Scoring!$A:$A, Scoring!$B:$B,"",1)) * (XLOOKUP(AE$2, Weightings!$C$2:$C$36, Weightings!$I$2:$I$36,"",1))</f>
        <v>2.45</v>
      </c>
      <c r="AF12" s="6">
        <f t="array" ref="AF12">(XLOOKUP(Players!$I11, Scoring!$A:$A, Scoring!$B:$B,"",1)) * (XLOOKUP(AF$2, Weightings!$C$2:$C$36, Weightings!$I$2:$I$36,"",1))</f>
        <v>1.05</v>
      </c>
      <c r="AG12" s="6">
        <f t="array" ref="AG12">(XLOOKUP(Players!$I11, Scoring!$A:$A, Scoring!$B:$B,"",1)) * (XLOOKUP(AG$2, Weightings!$C$2:$C$36, Weightings!$I$2:$I$36,"",1))</f>
        <v>1.05</v>
      </c>
      <c r="AH12" s="6">
        <f t="array" ref="AH12">(XLOOKUP(Players!$J11, Scoring!$A:$A, Scoring!$B:$B,"",1)) * (XLOOKUP(AH$2, Weightings!$C$2:$C$36, Weightings!$I$2:$I$36,"",1))</f>
        <v>1.4</v>
      </c>
      <c r="AI12" s="6">
        <f t="array" ref="AI12">(XLOOKUP(Players!$J11, Scoring!$A:$A, Scoring!$B:$B,"",1)) * (XLOOKUP(AI$2, Weightings!$C$2:$C$36, Weightings!$I$2:$I$36,"",1))</f>
        <v>1.4</v>
      </c>
      <c r="AJ12" s="6">
        <f t="array" ref="AJ12">(XLOOKUP(Players!$J11, Scoring!$A:$A, Scoring!$B:$B,"",1)) * (XLOOKUP(AJ$2, Weightings!$C$2:$C$36, Weightings!$I$2:$I$36,"",1))</f>
        <v>0.35</v>
      </c>
      <c r="AK12" s="6">
        <f t="shared" si="1"/>
        <v>41.97</v>
      </c>
    </row>
    <row r="13">
      <c r="A13" s="4" t="s">
        <v>27</v>
      </c>
      <c r="B13" s="6">
        <f t="array" ref="B13">(XLOOKUP(Players!$B12, Scoring!$A:$A, Scoring!$B:$B,"",1)) * (XLOOKUP(B$2, Weightings!$C$2:$C$36, Weightings!$I$2:$I$36,"",1))</f>
        <v>1.4</v>
      </c>
      <c r="C13" s="6">
        <f t="array" ref="C13">(XLOOKUP(Players!$B12, Scoring!$A:$A, Scoring!$B:$B,"",1)) * (XLOOKUP(C$2, Weightings!$C$2:$C$36, Weightings!$I$2:$I$36,"",1))</f>
        <v>0.7</v>
      </c>
      <c r="D13" s="6">
        <f t="array" ref="D13">(XLOOKUP(Players!$B12, Scoring!$A:$A, Scoring!$B:$B,"",1)) * (XLOOKUP(D$2, Weightings!$C$2:$C$36, Weightings!$I$2:$I$36,"",1))</f>
        <v>0</v>
      </c>
      <c r="E13" s="6">
        <f t="array" ref="E13">(XLOOKUP(Players!$B12, Scoring!$A:$A, Scoring!$B:$B,"",1)) * (XLOOKUP(E$2, Weightings!$C$2:$C$36, Weightings!$I$2:$I$36,"",1))</f>
        <v>0.7</v>
      </c>
      <c r="F13" s="6">
        <f t="array" ref="F13">(XLOOKUP(Players!$C12, Scoring!$A:$A, Scoring!$B:$B,"",1)) * (XLOOKUP(F$2, Weightings!$C$2:$C$36, Weightings!$I$2:$I$36,"",1))</f>
        <v>1.75</v>
      </c>
      <c r="G13" s="6">
        <f t="array" ref="G13">(XLOOKUP(Players!$C12, Scoring!$A:$A, Scoring!$B:$B,"",1)) * (XLOOKUP(G$2, Weightings!$C$2:$C$36, Weightings!$I$2:$I$36,"",1))</f>
        <v>1.75</v>
      </c>
      <c r="H13" s="6">
        <f t="array" ref="H13">(XLOOKUP(Players!$C12, Scoring!$A:$A, Scoring!$B:$B,"",1)) * (XLOOKUP(H$2, Weightings!$C$2:$C$36, Weightings!$I$2:$I$36,"",1))</f>
        <v>0.7</v>
      </c>
      <c r="I13" s="6">
        <f t="array" ref="I13">(XLOOKUP(Players!$D12, Scoring!$A:$A, Scoring!$B:$B,"",1)) * (XLOOKUP(I$2, Weightings!$C$2:$C$36, Weightings!$I$2:$I$36,"",1))</f>
        <v>0.7</v>
      </c>
      <c r="J13" s="6">
        <f t="array" ref="J13">(XLOOKUP(Players!$D12, Scoring!$A:$A, Scoring!$B:$B,"",1)) * (XLOOKUP(J$2, Weightings!$C$2:$C$36, Weightings!$I$2:$I$36,"",1))</f>
        <v>0.7</v>
      </c>
      <c r="K13" s="6">
        <f t="array" ref="K13">(XLOOKUP(Players!$D12, Scoring!$A:$A, Scoring!$B:$B,"",1)) * (XLOOKUP(K$2, Weightings!$C$2:$C$36, Weightings!$I$2:$I$36,"",1))</f>
        <v>0.35</v>
      </c>
      <c r="L13" s="6">
        <f t="array" ref="L13">(XLOOKUP(Players!$D12, Scoring!$A:$A, Scoring!$B:$B,"",1)) * (XLOOKUP(L$2, Weightings!$C$2:$C$36, Weightings!$I$2:$I$36,"",1))</f>
        <v>1.05</v>
      </c>
      <c r="M13" s="6">
        <f t="array" ref="M13">(XLOOKUP(Players!$E12, Scoring!$A:$A, Scoring!$B:$B,"",1)) * (XLOOKUP(M$2, Weightings!$C$2:$C$36, Weightings!$I$2:$I$36,"",1))</f>
        <v>1.05</v>
      </c>
      <c r="N13" s="6">
        <f t="array" ref="N13">(XLOOKUP(Players!$E12, Scoring!$A:$A, Scoring!$B:$B,"",1)) * (XLOOKUP(N$2, Weightings!$C$2:$C$36, Weightings!$I$2:$I$36,"",1))</f>
        <v>0</v>
      </c>
      <c r="O13" s="6">
        <f t="array" ref="O13">(XLOOKUP(Players!$E12, Scoring!$A:$A, Scoring!$B:$B,"",1)) * (XLOOKUP(O$2, Weightings!$C$2:$C$36, Weightings!$I$2:$I$36,"",1))</f>
        <v>0</v>
      </c>
      <c r="P13" s="6">
        <f t="array" ref="P13">(XLOOKUP(Players!$E12, Scoring!$A:$A, Scoring!$B:$B,"",1)) * (XLOOKUP(P$2, Weightings!$C$2:$C$36, Weightings!$I$2:$I$36,"",1))</f>
        <v>0</v>
      </c>
      <c r="Q13" s="6">
        <f t="array" ref="Q13">(XLOOKUP(Players!$E12, Scoring!$A:$A, Scoring!$B:$B,"",1)) * (XLOOKUP(Q$2, Weightings!$C$2:$C$36, Weightings!$I$2:$I$36,"",1))</f>
        <v>0</v>
      </c>
      <c r="R13" s="6">
        <f t="array" ref="R13">(XLOOKUP(Players!$F12, Scoring!$A:$A, Scoring!$B:$B,"",1)) * (XLOOKUP(R$2, Weightings!$C$2:$C$36, Weightings!$I$2:$I$36,"",1))</f>
        <v>1.05</v>
      </c>
      <c r="S13" s="6">
        <f t="array" ref="S13">(XLOOKUP(Players!$F12, Scoring!$A:$A, Scoring!$B:$B,"",1)) * (XLOOKUP(S$2, Weightings!$C$2:$C$36, Weightings!$I$2:$I$36,"",1))</f>
        <v>0.35</v>
      </c>
      <c r="T13" s="6">
        <f t="array" ref="T13">(XLOOKUP(Players!$F12, Scoring!$A:$A, Scoring!$B:$B,"",1)) * (XLOOKUP(T$2, Weightings!$C$2:$C$36, Weightings!$I$2:$I$36,"",1))</f>
        <v>1.4</v>
      </c>
      <c r="U13" s="6">
        <f t="array" ref="U13">(XLOOKUP(Players!$F12, Scoring!$A:$A, Scoring!$B:$B,"",1)) * (XLOOKUP(U$2, Weightings!$C$2:$C$36, Weightings!$I$2:$I$36,"",1))</f>
        <v>0.7</v>
      </c>
      <c r="V13" s="6">
        <f t="array" ref="V13">(XLOOKUP(Players!$G12, Scoring!$A:$A, Scoring!$B:$B,"",1)) * (XLOOKUP(V$2, Weightings!$C$2:$C$36, Weightings!$I$2:$I$36,"",1))</f>
        <v>1.75</v>
      </c>
      <c r="W13" s="6">
        <f t="array" ref="W13">(XLOOKUP(Players!$G12, Scoring!$A:$A, Scoring!$B:$B,"",1)) * (XLOOKUP(W$2, Weightings!$C$2:$C$36, Weightings!$I$2:$I$36,"",1))</f>
        <v>1.05</v>
      </c>
      <c r="X13" s="6">
        <f t="array" ref="X13">(XLOOKUP(Players!$G12, Scoring!$A:$A, Scoring!$B:$B,"",1)) * (XLOOKUP(X$2, Weightings!$C$2:$C$36, Weightings!$I$2:$I$36,"",1))</f>
        <v>1.75</v>
      </c>
      <c r="Y13" s="6">
        <f t="array" ref="Y13">(XLOOKUP(Players!$G12, Scoring!$A:$A, Scoring!$B:$B,"",1)) * (XLOOKUP(Y$2, Weightings!$C$2:$C$36, Weightings!$I$2:$I$36,"",1))</f>
        <v>1.4</v>
      </c>
      <c r="Z13" s="6">
        <f t="array" ref="Z13">(XLOOKUP(Players!$G12, Scoring!$A:$A, Scoring!$B:$B,"",1)) * (XLOOKUP(Z$2, Weightings!$C$2:$C$36, Weightings!$I$2:$I$36,"",1))</f>
        <v>1.05</v>
      </c>
      <c r="AA13" s="6">
        <f t="array" ref="AA13">(XLOOKUP(Players!$G12, Scoring!$A:$A, Scoring!$B:$B,"",1)) * (XLOOKUP(AA$2, Weightings!$C$2:$C$36, Weightings!$I$2:$I$36,"",1))</f>
        <v>1.75</v>
      </c>
      <c r="AB13" s="6">
        <f t="array" ref="AB13">(XLOOKUP(Players!$H12, Scoring!$A:$A, Scoring!$B:$B,"",1)) * (XLOOKUP(AB$2, Weightings!$C$2:$C$36, Weightings!$I$2:$I$36,"",1))</f>
        <v>1.56</v>
      </c>
      <c r="AC13" s="6">
        <f t="array" ref="AC13">(XLOOKUP(Players!$H12, Scoring!$A:$A, Scoring!$B:$B,"",1)) * (XLOOKUP(AC$2, Weightings!$C$2:$C$36, Weightings!$I$2:$I$36,"",1))</f>
        <v>2.6</v>
      </c>
      <c r="AD13" s="6">
        <f t="array" ref="AD13">(XLOOKUP(Players!$I12, Scoring!$A:$A, Scoring!$B:$B,"",1)) * (XLOOKUP(AD$2, Weightings!$C$2:$C$36, Weightings!$I$2:$I$36,"",1))</f>
        <v>2.08</v>
      </c>
      <c r="AE13" s="6">
        <f t="array" ref="AE13">(XLOOKUP(Players!$I12, Scoring!$A:$A, Scoring!$B:$B,"",1)) * (XLOOKUP(AE$2, Weightings!$C$2:$C$36, Weightings!$I$2:$I$36,"",1))</f>
        <v>3.64</v>
      </c>
      <c r="AF13" s="6">
        <f t="array" ref="AF13">(XLOOKUP(Players!$I12, Scoring!$A:$A, Scoring!$B:$B,"",1)) * (XLOOKUP(AF$2, Weightings!$C$2:$C$36, Weightings!$I$2:$I$36,"",1))</f>
        <v>1.56</v>
      </c>
      <c r="AG13" s="6">
        <f t="array" ref="AG13">(XLOOKUP(Players!$I12, Scoring!$A:$A, Scoring!$B:$B,"",1)) * (XLOOKUP(AG$2, Weightings!$C$2:$C$36, Weightings!$I$2:$I$36,"",1))</f>
        <v>1.56</v>
      </c>
      <c r="AH13" s="6">
        <f t="array" ref="AH13">(XLOOKUP(Players!$J12, Scoring!$A:$A, Scoring!$B:$B,"",1)) * (XLOOKUP(AH$2, Weightings!$C$2:$C$36, Weightings!$I$2:$I$36,"",1))</f>
        <v>1.4</v>
      </c>
      <c r="AI13" s="6">
        <f t="array" ref="AI13">(XLOOKUP(Players!$J12, Scoring!$A:$A, Scoring!$B:$B,"",1)) * (XLOOKUP(AI$2, Weightings!$C$2:$C$36, Weightings!$I$2:$I$36,"",1))</f>
        <v>1.4</v>
      </c>
      <c r="AJ13" s="6">
        <f t="array" ref="AJ13">(XLOOKUP(Players!$J12, Scoring!$A:$A, Scoring!$B:$B,"",1)) * (XLOOKUP(AJ$2, Weightings!$C$2:$C$36, Weightings!$I$2:$I$36,"",1))</f>
        <v>0.35</v>
      </c>
      <c r="AK13" s="6">
        <f t="shared" si="1"/>
        <v>39.25</v>
      </c>
    </row>
    <row r="14">
      <c r="A14" s="4" t="s">
        <v>28</v>
      </c>
      <c r="B14" s="6">
        <f t="array" ref="B14">(XLOOKUP(Players!$B13, Scoring!$A:$A, Scoring!$B:$B,"",1)) * (XLOOKUP(B$2, Weightings!$C$2:$C$36, Weightings!$I$2:$I$36,"",1))</f>
        <v>0.72</v>
      </c>
      <c r="C14" s="6">
        <f t="array" ref="C14">(XLOOKUP(Players!$B13, Scoring!$A:$A, Scoring!$B:$B,"",1)) * (XLOOKUP(C$2, Weightings!$C$2:$C$36, Weightings!$I$2:$I$36,"",1))</f>
        <v>0.36</v>
      </c>
      <c r="D14" s="6">
        <f t="array" ref="D14">(XLOOKUP(Players!$B13, Scoring!$A:$A, Scoring!$B:$B,"",1)) * (XLOOKUP(D$2, Weightings!$C$2:$C$36, Weightings!$I$2:$I$36,"",1))</f>
        <v>0</v>
      </c>
      <c r="E14" s="6">
        <f t="array" ref="E14">(XLOOKUP(Players!$B13, Scoring!$A:$A, Scoring!$B:$B,"",1)) * (XLOOKUP(E$2, Weightings!$C$2:$C$36, Weightings!$I$2:$I$36,"",1))</f>
        <v>0.36</v>
      </c>
      <c r="F14" s="6">
        <f t="array" ref="F14">(XLOOKUP(Players!$C13, Scoring!$A:$A, Scoring!$B:$B,"",1)) * (XLOOKUP(F$2, Weightings!$C$2:$C$36, Weightings!$I$2:$I$36,"",1))</f>
        <v>0.9</v>
      </c>
      <c r="G14" s="6">
        <f t="array" ref="G14">(XLOOKUP(Players!$C13, Scoring!$A:$A, Scoring!$B:$B,"",1)) * (XLOOKUP(G$2, Weightings!$C$2:$C$36, Weightings!$I$2:$I$36,"",1))</f>
        <v>0.9</v>
      </c>
      <c r="H14" s="6">
        <f t="array" ref="H14">(XLOOKUP(Players!$C13, Scoring!$A:$A, Scoring!$B:$B,"",1)) * (XLOOKUP(H$2, Weightings!$C$2:$C$36, Weightings!$I$2:$I$36,"",1))</f>
        <v>0.36</v>
      </c>
      <c r="I14" s="6">
        <f t="array" ref="I14">(XLOOKUP(Players!$D13, Scoring!$A:$A, Scoring!$B:$B,"",1)) * (XLOOKUP(I$2, Weightings!$C$2:$C$36, Weightings!$I$2:$I$36,"",1))</f>
        <v>0.36</v>
      </c>
      <c r="J14" s="6">
        <f t="array" ref="J14">(XLOOKUP(Players!$D13, Scoring!$A:$A, Scoring!$B:$B,"",1)) * (XLOOKUP(J$2, Weightings!$C$2:$C$36, Weightings!$I$2:$I$36,"",1))</f>
        <v>0.36</v>
      </c>
      <c r="K14" s="6">
        <f t="array" ref="K14">(XLOOKUP(Players!$D13, Scoring!$A:$A, Scoring!$B:$B,"",1)) * (XLOOKUP(K$2, Weightings!$C$2:$C$36, Weightings!$I$2:$I$36,"",1))</f>
        <v>0.18</v>
      </c>
      <c r="L14" s="6">
        <f t="array" ref="L14">(XLOOKUP(Players!$D13, Scoring!$A:$A, Scoring!$B:$B,"",1)) * (XLOOKUP(L$2, Weightings!$C$2:$C$36, Weightings!$I$2:$I$36,"",1))</f>
        <v>0.54</v>
      </c>
      <c r="M14" s="6">
        <f t="array" ref="M14">(XLOOKUP(Players!$E13, Scoring!$A:$A, Scoring!$B:$B,"",1)) * (XLOOKUP(M$2, Weightings!$C$2:$C$36, Weightings!$I$2:$I$36,"",1))</f>
        <v>0.54</v>
      </c>
      <c r="N14" s="6">
        <f t="array" ref="N14">(XLOOKUP(Players!$E13, Scoring!$A:$A, Scoring!$B:$B,"",1)) * (XLOOKUP(N$2, Weightings!$C$2:$C$36, Weightings!$I$2:$I$36,"",1))</f>
        <v>0</v>
      </c>
      <c r="O14" s="6">
        <f t="array" ref="O14">(XLOOKUP(Players!$E13, Scoring!$A:$A, Scoring!$B:$B,"",1)) * (XLOOKUP(O$2, Weightings!$C$2:$C$36, Weightings!$I$2:$I$36,"",1))</f>
        <v>0</v>
      </c>
      <c r="P14" s="6">
        <f t="array" ref="P14">(XLOOKUP(Players!$E13, Scoring!$A:$A, Scoring!$B:$B,"",1)) * (XLOOKUP(P$2, Weightings!$C$2:$C$36, Weightings!$I$2:$I$36,"",1))</f>
        <v>0</v>
      </c>
      <c r="Q14" s="6">
        <f t="array" ref="Q14">(XLOOKUP(Players!$E13, Scoring!$A:$A, Scoring!$B:$B,"",1)) * (XLOOKUP(Q$2, Weightings!$C$2:$C$36, Weightings!$I$2:$I$36,"",1))</f>
        <v>0</v>
      </c>
      <c r="R14" s="6">
        <f t="array" ref="R14">(XLOOKUP(Players!$F13, Scoring!$A:$A, Scoring!$B:$B,"",1)) * (XLOOKUP(R$2, Weightings!$C$2:$C$36, Weightings!$I$2:$I$36,"",1))</f>
        <v>0.54</v>
      </c>
      <c r="S14" s="6">
        <f t="array" ref="S14">(XLOOKUP(Players!$F13, Scoring!$A:$A, Scoring!$B:$B,"",1)) * (XLOOKUP(S$2, Weightings!$C$2:$C$36, Weightings!$I$2:$I$36,"",1))</f>
        <v>0.18</v>
      </c>
      <c r="T14" s="6">
        <f t="array" ref="T14">(XLOOKUP(Players!$F13, Scoring!$A:$A, Scoring!$B:$B,"",1)) * (XLOOKUP(T$2, Weightings!$C$2:$C$36, Weightings!$I$2:$I$36,"",1))</f>
        <v>0.72</v>
      </c>
      <c r="U14" s="6">
        <f t="array" ref="U14">(XLOOKUP(Players!$F13, Scoring!$A:$A, Scoring!$B:$B,"",1)) * (XLOOKUP(U$2, Weightings!$C$2:$C$36, Weightings!$I$2:$I$36,"",1))</f>
        <v>0.36</v>
      </c>
      <c r="V14" s="6">
        <f t="array" ref="V14">(XLOOKUP(Players!$G13, Scoring!$A:$A, Scoring!$B:$B,"",1)) * (XLOOKUP(V$2, Weightings!$C$2:$C$36, Weightings!$I$2:$I$36,"",1))</f>
        <v>0.9</v>
      </c>
      <c r="W14" s="6">
        <f t="array" ref="W14">(XLOOKUP(Players!$G13, Scoring!$A:$A, Scoring!$B:$B,"",1)) * (XLOOKUP(W$2, Weightings!$C$2:$C$36, Weightings!$I$2:$I$36,"",1))</f>
        <v>0.54</v>
      </c>
      <c r="X14" s="6">
        <f t="array" ref="X14">(XLOOKUP(Players!$G13, Scoring!$A:$A, Scoring!$B:$B,"",1)) * (XLOOKUP(X$2, Weightings!$C$2:$C$36, Weightings!$I$2:$I$36,"",1))</f>
        <v>0.9</v>
      </c>
      <c r="Y14" s="6">
        <f t="array" ref="Y14">(XLOOKUP(Players!$G13, Scoring!$A:$A, Scoring!$B:$B,"",1)) * (XLOOKUP(Y$2, Weightings!$C$2:$C$36, Weightings!$I$2:$I$36,"",1))</f>
        <v>0.72</v>
      </c>
      <c r="Z14" s="6">
        <f t="array" ref="Z14">(XLOOKUP(Players!$G13, Scoring!$A:$A, Scoring!$B:$B,"",1)) * (XLOOKUP(Z$2, Weightings!$C$2:$C$36, Weightings!$I$2:$I$36,"",1))</f>
        <v>0.54</v>
      </c>
      <c r="AA14" s="6">
        <f t="array" ref="AA14">(XLOOKUP(Players!$G13, Scoring!$A:$A, Scoring!$B:$B,"",1)) * (XLOOKUP(AA$2, Weightings!$C$2:$C$36, Weightings!$I$2:$I$36,"",1))</f>
        <v>0.9</v>
      </c>
      <c r="AB14" s="6">
        <f t="array" ref="AB14">(XLOOKUP(Players!$H13, Scoring!$A:$A, Scoring!$B:$B,"",1)) * (XLOOKUP(AB$2, Weightings!$C$2:$C$36, Weightings!$I$2:$I$36,"",1))</f>
        <v>0.54</v>
      </c>
      <c r="AC14" s="6">
        <f t="array" ref="AC14">(XLOOKUP(Players!$H13, Scoring!$A:$A, Scoring!$B:$B,"",1)) * (XLOOKUP(AC$2, Weightings!$C$2:$C$36, Weightings!$I$2:$I$36,"",1))</f>
        <v>0.9</v>
      </c>
      <c r="AD14" s="6">
        <f t="array" ref="AD14">(XLOOKUP(Players!$I13, Scoring!$A:$A, Scoring!$B:$B,"",1)) * (XLOOKUP(AD$2, Weightings!$C$2:$C$36, Weightings!$I$2:$I$36,"",1))</f>
        <v>0.72</v>
      </c>
      <c r="AE14" s="6">
        <f t="array" ref="AE14">(XLOOKUP(Players!$I13, Scoring!$A:$A, Scoring!$B:$B,"",1)) * (XLOOKUP(AE$2, Weightings!$C$2:$C$36, Weightings!$I$2:$I$36,"",1))</f>
        <v>1.26</v>
      </c>
      <c r="AF14" s="6">
        <f t="array" ref="AF14">(XLOOKUP(Players!$I13, Scoring!$A:$A, Scoring!$B:$B,"",1)) * (XLOOKUP(AF$2, Weightings!$C$2:$C$36, Weightings!$I$2:$I$36,"",1))</f>
        <v>0.54</v>
      </c>
      <c r="AG14" s="6">
        <f t="array" ref="AG14">(XLOOKUP(Players!$I13, Scoring!$A:$A, Scoring!$B:$B,"",1)) * (XLOOKUP(AG$2, Weightings!$C$2:$C$36, Weightings!$I$2:$I$36,"",1))</f>
        <v>0.54</v>
      </c>
      <c r="AH14" s="6">
        <f t="array" ref="AH14">(XLOOKUP(Players!$J13, Scoring!$A:$A, Scoring!$B:$B,"",1)) * (XLOOKUP(AH$2, Weightings!$C$2:$C$36, Weightings!$I$2:$I$36,"",1))</f>
        <v>0.72</v>
      </c>
      <c r="AI14" s="6">
        <f t="array" ref="AI14">(XLOOKUP(Players!$J13, Scoring!$A:$A, Scoring!$B:$B,"",1)) * (XLOOKUP(AI$2, Weightings!$C$2:$C$36, Weightings!$I$2:$I$36,"",1))</f>
        <v>0.72</v>
      </c>
      <c r="AJ14" s="6">
        <f t="array" ref="AJ14">(XLOOKUP(Players!$J13, Scoring!$A:$A, Scoring!$B:$B,"",1)) * (XLOOKUP(AJ$2, Weightings!$C$2:$C$36, Weightings!$I$2:$I$36,"",1))</f>
        <v>0.18</v>
      </c>
      <c r="AK14" s="6">
        <f t="shared" si="1"/>
        <v>18</v>
      </c>
    </row>
    <row r="15">
      <c r="A15" s="4" t="s">
        <v>29</v>
      </c>
      <c r="B15" s="6">
        <f t="array" ref="B15">(XLOOKUP(Players!$B14, Scoring!$A:$A, Scoring!$B:$B,"",1)) * (XLOOKUP(B$2, Weightings!$C$2:$C$36, Weightings!$I$2:$I$36,"",1))</f>
        <v>2.08</v>
      </c>
      <c r="C15" s="6">
        <f t="array" ref="C15">(XLOOKUP(Players!$B14, Scoring!$A:$A, Scoring!$B:$B,"",1)) * (XLOOKUP(C$2, Weightings!$C$2:$C$36, Weightings!$I$2:$I$36,"",1))</f>
        <v>1.04</v>
      </c>
      <c r="D15" s="6">
        <f t="array" ref="D15">(XLOOKUP(Players!$B14, Scoring!$A:$A, Scoring!$B:$B,"",1)) * (XLOOKUP(D$2, Weightings!$C$2:$C$36, Weightings!$I$2:$I$36,"",1))</f>
        <v>0</v>
      </c>
      <c r="E15" s="6">
        <f t="array" ref="E15">(XLOOKUP(Players!$B14, Scoring!$A:$A, Scoring!$B:$B,"",1)) * (XLOOKUP(E$2, Weightings!$C$2:$C$36, Weightings!$I$2:$I$36,"",1))</f>
        <v>1.04</v>
      </c>
      <c r="F15" s="6">
        <f t="array" ref="F15">(XLOOKUP(Players!$C14, Scoring!$A:$A, Scoring!$B:$B,"",1)) * (XLOOKUP(F$2, Weightings!$C$2:$C$36, Weightings!$I$2:$I$36,"",1))</f>
        <v>2.6</v>
      </c>
      <c r="G15" s="6">
        <f t="array" ref="G15">(XLOOKUP(Players!$C14, Scoring!$A:$A, Scoring!$B:$B,"",1)) * (XLOOKUP(G$2, Weightings!$C$2:$C$36, Weightings!$I$2:$I$36,"",1))</f>
        <v>2.6</v>
      </c>
      <c r="H15" s="6">
        <f t="array" ref="H15">(XLOOKUP(Players!$C14, Scoring!$A:$A, Scoring!$B:$B,"",1)) * (XLOOKUP(H$2, Weightings!$C$2:$C$36, Weightings!$I$2:$I$36,"",1))</f>
        <v>1.04</v>
      </c>
      <c r="I15" s="6">
        <f t="array" ref="I15">(XLOOKUP(Players!$D14, Scoring!$A:$A, Scoring!$B:$B,"",1)) * (XLOOKUP(I$2, Weightings!$C$2:$C$36, Weightings!$I$2:$I$36,"",1))</f>
        <v>0.7</v>
      </c>
      <c r="J15" s="6">
        <f t="array" ref="J15">(XLOOKUP(Players!$D14, Scoring!$A:$A, Scoring!$B:$B,"",1)) * (XLOOKUP(J$2, Weightings!$C$2:$C$36, Weightings!$I$2:$I$36,"",1))</f>
        <v>0.7</v>
      </c>
      <c r="K15" s="6">
        <f t="array" ref="K15">(XLOOKUP(Players!$D14, Scoring!$A:$A, Scoring!$B:$B,"",1)) * (XLOOKUP(K$2, Weightings!$C$2:$C$36, Weightings!$I$2:$I$36,"",1))</f>
        <v>0.35</v>
      </c>
      <c r="L15" s="6">
        <f t="array" ref="L15">(XLOOKUP(Players!$D14, Scoring!$A:$A, Scoring!$B:$B,"",1)) * (XLOOKUP(L$2, Weightings!$C$2:$C$36, Weightings!$I$2:$I$36,"",1))</f>
        <v>1.05</v>
      </c>
      <c r="M15" s="6">
        <f t="array" ref="M15">(XLOOKUP(Players!$E14, Scoring!$A:$A, Scoring!$B:$B,"",1)) * (XLOOKUP(M$2, Weightings!$C$2:$C$36, Weightings!$I$2:$I$36,"",1))</f>
        <v>1.05</v>
      </c>
      <c r="N15" s="6">
        <f t="array" ref="N15">(XLOOKUP(Players!$E14, Scoring!$A:$A, Scoring!$B:$B,"",1)) * (XLOOKUP(N$2, Weightings!$C$2:$C$36, Weightings!$I$2:$I$36,"",1))</f>
        <v>0</v>
      </c>
      <c r="O15" s="6">
        <f t="array" ref="O15">(XLOOKUP(Players!$E14, Scoring!$A:$A, Scoring!$B:$B,"",1)) * (XLOOKUP(O$2, Weightings!$C$2:$C$36, Weightings!$I$2:$I$36,"",1))</f>
        <v>0</v>
      </c>
      <c r="P15" s="6">
        <f t="array" ref="P15">(XLOOKUP(Players!$E14, Scoring!$A:$A, Scoring!$B:$B,"",1)) * (XLOOKUP(P$2, Weightings!$C$2:$C$36, Weightings!$I$2:$I$36,"",1))</f>
        <v>0</v>
      </c>
      <c r="Q15" s="6">
        <f t="array" ref="Q15">(XLOOKUP(Players!$E14, Scoring!$A:$A, Scoring!$B:$B,"",1)) * (XLOOKUP(Q$2, Weightings!$C$2:$C$36, Weightings!$I$2:$I$36,"",1))</f>
        <v>0</v>
      </c>
      <c r="R15" s="6">
        <f t="array" ref="R15">(XLOOKUP(Players!$F14, Scoring!$A:$A, Scoring!$B:$B,"",1)) * (XLOOKUP(R$2, Weightings!$C$2:$C$36, Weightings!$I$2:$I$36,"",1))</f>
        <v>1.56</v>
      </c>
      <c r="S15" s="6">
        <f t="array" ref="S15">(XLOOKUP(Players!$F14, Scoring!$A:$A, Scoring!$B:$B,"",1)) * (XLOOKUP(S$2, Weightings!$C$2:$C$36, Weightings!$I$2:$I$36,"",1))</f>
        <v>0.52</v>
      </c>
      <c r="T15" s="6">
        <f t="array" ref="T15">(XLOOKUP(Players!$F14, Scoring!$A:$A, Scoring!$B:$B,"",1)) * (XLOOKUP(T$2, Weightings!$C$2:$C$36, Weightings!$I$2:$I$36,"",1))</f>
        <v>2.08</v>
      </c>
      <c r="U15" s="6">
        <f t="array" ref="U15">(XLOOKUP(Players!$F14, Scoring!$A:$A, Scoring!$B:$B,"",1)) * (XLOOKUP(U$2, Weightings!$C$2:$C$36, Weightings!$I$2:$I$36,"",1))</f>
        <v>1.04</v>
      </c>
      <c r="V15" s="6">
        <f t="array" ref="V15">(XLOOKUP(Players!$G14, Scoring!$A:$A, Scoring!$B:$B,"",1)) * (XLOOKUP(V$2, Weightings!$C$2:$C$36, Weightings!$I$2:$I$36,"",1))</f>
        <v>1.75</v>
      </c>
      <c r="W15" s="6">
        <f t="array" ref="W15">(XLOOKUP(Players!$G14, Scoring!$A:$A, Scoring!$B:$B,"",1)) * (XLOOKUP(W$2, Weightings!$C$2:$C$36, Weightings!$I$2:$I$36,"",1))</f>
        <v>1.05</v>
      </c>
      <c r="X15" s="6">
        <f t="array" ref="X15">(XLOOKUP(Players!$G14, Scoring!$A:$A, Scoring!$B:$B,"",1)) * (XLOOKUP(X$2, Weightings!$C$2:$C$36, Weightings!$I$2:$I$36,"",1))</f>
        <v>1.75</v>
      </c>
      <c r="Y15" s="6">
        <f t="array" ref="Y15">(XLOOKUP(Players!$G14, Scoring!$A:$A, Scoring!$B:$B,"",1)) * (XLOOKUP(Y$2, Weightings!$C$2:$C$36, Weightings!$I$2:$I$36,"",1))</f>
        <v>1.4</v>
      </c>
      <c r="Z15" s="6">
        <f t="array" ref="Z15">(XLOOKUP(Players!$G14, Scoring!$A:$A, Scoring!$B:$B,"",1)) * (XLOOKUP(Z$2, Weightings!$C$2:$C$36, Weightings!$I$2:$I$36,"",1))</f>
        <v>1.05</v>
      </c>
      <c r="AA15" s="6">
        <f t="array" ref="AA15">(XLOOKUP(Players!$G14, Scoring!$A:$A, Scoring!$B:$B,"",1)) * (XLOOKUP(AA$2, Weightings!$C$2:$C$36, Weightings!$I$2:$I$36,"",1))</f>
        <v>1.75</v>
      </c>
      <c r="AB15" s="6">
        <f t="array" ref="AB15">(XLOOKUP(Players!$H14, Scoring!$A:$A, Scoring!$B:$B,"",1)) * (XLOOKUP(AB$2, Weightings!$C$2:$C$36, Weightings!$I$2:$I$36,"",1))</f>
        <v>1.05</v>
      </c>
      <c r="AC15" s="6">
        <f t="array" ref="AC15">(XLOOKUP(Players!$H14, Scoring!$A:$A, Scoring!$B:$B,"",1)) * (XLOOKUP(AC$2, Weightings!$C$2:$C$36, Weightings!$I$2:$I$36,"",1))</f>
        <v>1.75</v>
      </c>
      <c r="AD15" s="6">
        <f t="array" ref="AD15">(XLOOKUP(Players!$I14, Scoring!$A:$A, Scoring!$B:$B,"",1)) * (XLOOKUP(AD$2, Weightings!$C$2:$C$36, Weightings!$I$2:$I$36,"",1))</f>
        <v>1.4</v>
      </c>
      <c r="AE15" s="6">
        <f t="array" ref="AE15">(XLOOKUP(Players!$I14, Scoring!$A:$A, Scoring!$B:$B,"",1)) * (XLOOKUP(AE$2, Weightings!$C$2:$C$36, Weightings!$I$2:$I$36,"",1))</f>
        <v>2.45</v>
      </c>
      <c r="AF15" s="6">
        <f t="array" ref="AF15">(XLOOKUP(Players!$I14, Scoring!$A:$A, Scoring!$B:$B,"",1)) * (XLOOKUP(AF$2, Weightings!$C$2:$C$36, Weightings!$I$2:$I$36,"",1))</f>
        <v>1.05</v>
      </c>
      <c r="AG15" s="6">
        <f t="array" ref="AG15">(XLOOKUP(Players!$I14, Scoring!$A:$A, Scoring!$B:$B,"",1)) * (XLOOKUP(AG$2, Weightings!$C$2:$C$36, Weightings!$I$2:$I$36,"",1))</f>
        <v>1.05</v>
      </c>
      <c r="AH15" s="6">
        <f t="array" ref="AH15">(XLOOKUP(Players!$J14, Scoring!$A:$A, Scoring!$B:$B,"",1)) * (XLOOKUP(AH$2, Weightings!$C$2:$C$36, Weightings!$I$2:$I$36,"",1))</f>
        <v>1.4</v>
      </c>
      <c r="AI15" s="6">
        <f t="array" ref="AI15">(XLOOKUP(Players!$J14, Scoring!$A:$A, Scoring!$B:$B,"",1)) * (XLOOKUP(AI$2, Weightings!$C$2:$C$36, Weightings!$I$2:$I$36,"",1))</f>
        <v>1.4</v>
      </c>
      <c r="AJ15" s="6">
        <f t="array" ref="AJ15">(XLOOKUP(Players!$J14, Scoring!$A:$A, Scoring!$B:$B,"",1)) * (XLOOKUP(AJ$2, Weightings!$C$2:$C$36, Weightings!$I$2:$I$36,"",1))</f>
        <v>0.35</v>
      </c>
      <c r="AK15" s="6">
        <f t="shared" si="1"/>
        <v>40.1</v>
      </c>
    </row>
    <row r="16">
      <c r="A16" s="4" t="s">
        <v>30</v>
      </c>
      <c r="B16" s="6">
        <f t="array" ref="B16">(XLOOKUP(Players!$B15, Scoring!$A:$A, Scoring!$B:$B,"",1)) * (XLOOKUP(B$2, Weightings!$C$2:$C$36, Weightings!$I$2:$I$36,"",1))</f>
        <v>1.4</v>
      </c>
      <c r="C16" s="6">
        <f t="array" ref="C16">(XLOOKUP(Players!$B15, Scoring!$A:$A, Scoring!$B:$B,"",1)) * (XLOOKUP(C$2, Weightings!$C$2:$C$36, Weightings!$I$2:$I$36,"",1))</f>
        <v>0.7</v>
      </c>
      <c r="D16" s="6">
        <f t="array" ref="D16">(XLOOKUP(Players!$B15, Scoring!$A:$A, Scoring!$B:$B,"",1)) * (XLOOKUP(D$2, Weightings!$C$2:$C$36, Weightings!$I$2:$I$36,"",1))</f>
        <v>0</v>
      </c>
      <c r="E16" s="6">
        <f t="array" ref="E16">(XLOOKUP(Players!$B15, Scoring!$A:$A, Scoring!$B:$B,"",1)) * (XLOOKUP(E$2, Weightings!$C$2:$C$36, Weightings!$I$2:$I$36,"",1))</f>
        <v>0.7</v>
      </c>
      <c r="F16" s="6">
        <f t="array" ref="F16">(XLOOKUP(Players!$C15, Scoring!$A:$A, Scoring!$B:$B,"",1)) * (XLOOKUP(F$2, Weightings!$C$2:$C$36, Weightings!$I$2:$I$36,"",1))</f>
        <v>1.75</v>
      </c>
      <c r="G16" s="6">
        <f t="array" ref="G16">(XLOOKUP(Players!$C15, Scoring!$A:$A, Scoring!$B:$B,"",1)) * (XLOOKUP(G$2, Weightings!$C$2:$C$36, Weightings!$I$2:$I$36,"",1))</f>
        <v>1.75</v>
      </c>
      <c r="H16" s="6">
        <f t="array" ref="H16">(XLOOKUP(Players!$C15, Scoring!$A:$A, Scoring!$B:$B,"",1)) * (XLOOKUP(H$2, Weightings!$C$2:$C$36, Weightings!$I$2:$I$36,"",1))</f>
        <v>0.7</v>
      </c>
      <c r="I16" s="6">
        <f t="array" ref="I16">(XLOOKUP(Players!$D15, Scoring!$A:$A, Scoring!$B:$B,"",1)) * (XLOOKUP(I$2, Weightings!$C$2:$C$36, Weightings!$I$2:$I$36,"",1))</f>
        <v>0.7</v>
      </c>
      <c r="J16" s="6">
        <f t="array" ref="J16">(XLOOKUP(Players!$D15, Scoring!$A:$A, Scoring!$B:$B,"",1)) * (XLOOKUP(J$2, Weightings!$C$2:$C$36, Weightings!$I$2:$I$36,"",1))</f>
        <v>0.7</v>
      </c>
      <c r="K16" s="6">
        <f t="array" ref="K16">(XLOOKUP(Players!$D15, Scoring!$A:$A, Scoring!$B:$B,"",1)) * (XLOOKUP(K$2, Weightings!$C$2:$C$36, Weightings!$I$2:$I$36,"",1))</f>
        <v>0.35</v>
      </c>
      <c r="L16" s="6">
        <f t="array" ref="L16">(XLOOKUP(Players!$D15, Scoring!$A:$A, Scoring!$B:$B,"",1)) * (XLOOKUP(L$2, Weightings!$C$2:$C$36, Weightings!$I$2:$I$36,"",1))</f>
        <v>1.05</v>
      </c>
      <c r="M16" s="6">
        <f t="array" ref="M16">(XLOOKUP(Players!$E15, Scoring!$A:$A, Scoring!$B:$B,"",1)) * (XLOOKUP(M$2, Weightings!$C$2:$C$36, Weightings!$I$2:$I$36,"",1))</f>
        <v>1.05</v>
      </c>
      <c r="N16" s="6">
        <f t="array" ref="N16">(XLOOKUP(Players!$E15, Scoring!$A:$A, Scoring!$B:$B,"",1)) * (XLOOKUP(N$2, Weightings!$C$2:$C$36, Weightings!$I$2:$I$36,"",1))</f>
        <v>0</v>
      </c>
      <c r="O16" s="6">
        <f t="array" ref="O16">(XLOOKUP(Players!$E15, Scoring!$A:$A, Scoring!$B:$B,"",1)) * (XLOOKUP(O$2, Weightings!$C$2:$C$36, Weightings!$I$2:$I$36,"",1))</f>
        <v>0</v>
      </c>
      <c r="P16" s="6">
        <f t="array" ref="P16">(XLOOKUP(Players!$E15, Scoring!$A:$A, Scoring!$B:$B,"",1)) * (XLOOKUP(P$2, Weightings!$C$2:$C$36, Weightings!$I$2:$I$36,"",1))</f>
        <v>0</v>
      </c>
      <c r="Q16" s="6">
        <f t="array" ref="Q16">(XLOOKUP(Players!$E15, Scoring!$A:$A, Scoring!$B:$B,"",1)) * (XLOOKUP(Q$2, Weightings!$C$2:$C$36, Weightings!$I$2:$I$36,"",1))</f>
        <v>0</v>
      </c>
      <c r="R16" s="6">
        <f t="array" ref="R16">(XLOOKUP(Players!$F15, Scoring!$A:$A, Scoring!$B:$B,"",1)) * (XLOOKUP(R$2, Weightings!$C$2:$C$36, Weightings!$I$2:$I$36,"",1))</f>
        <v>1.56</v>
      </c>
      <c r="S16" s="6">
        <f t="array" ref="S16">(XLOOKUP(Players!$F15, Scoring!$A:$A, Scoring!$B:$B,"",1)) * (XLOOKUP(S$2, Weightings!$C$2:$C$36, Weightings!$I$2:$I$36,"",1))</f>
        <v>0.52</v>
      </c>
      <c r="T16" s="6">
        <f t="array" ref="T16">(XLOOKUP(Players!$F15, Scoring!$A:$A, Scoring!$B:$B,"",1)) * (XLOOKUP(T$2, Weightings!$C$2:$C$36, Weightings!$I$2:$I$36,"",1))</f>
        <v>2.08</v>
      </c>
      <c r="U16" s="6">
        <f t="array" ref="U16">(XLOOKUP(Players!$F15, Scoring!$A:$A, Scoring!$B:$B,"",1)) * (XLOOKUP(U$2, Weightings!$C$2:$C$36, Weightings!$I$2:$I$36,"",1))</f>
        <v>1.04</v>
      </c>
      <c r="V16" s="6">
        <f t="array" ref="V16">(XLOOKUP(Players!$G15, Scoring!$A:$A, Scoring!$B:$B,"",1)) * (XLOOKUP(V$2, Weightings!$C$2:$C$36, Weightings!$I$2:$I$36,"",1))</f>
        <v>1.75</v>
      </c>
      <c r="W16" s="6">
        <f t="array" ref="W16">(XLOOKUP(Players!$G15, Scoring!$A:$A, Scoring!$B:$B,"",1)) * (XLOOKUP(W$2, Weightings!$C$2:$C$36, Weightings!$I$2:$I$36,"",1))</f>
        <v>1.05</v>
      </c>
      <c r="X16" s="6">
        <f t="array" ref="X16">(XLOOKUP(Players!$G15, Scoring!$A:$A, Scoring!$B:$B,"",1)) * (XLOOKUP(X$2, Weightings!$C$2:$C$36, Weightings!$I$2:$I$36,"",1))</f>
        <v>1.75</v>
      </c>
      <c r="Y16" s="6">
        <f t="array" ref="Y16">(XLOOKUP(Players!$G15, Scoring!$A:$A, Scoring!$B:$B,"",1)) * (XLOOKUP(Y$2, Weightings!$C$2:$C$36, Weightings!$I$2:$I$36,"",1))</f>
        <v>1.4</v>
      </c>
      <c r="Z16" s="6">
        <f t="array" ref="Z16">(XLOOKUP(Players!$G15, Scoring!$A:$A, Scoring!$B:$B,"",1)) * (XLOOKUP(Z$2, Weightings!$C$2:$C$36, Weightings!$I$2:$I$36,"",1))</f>
        <v>1.05</v>
      </c>
      <c r="AA16" s="6">
        <f t="array" ref="AA16">(XLOOKUP(Players!$G15, Scoring!$A:$A, Scoring!$B:$B,"",1)) * (XLOOKUP(AA$2, Weightings!$C$2:$C$36, Weightings!$I$2:$I$36,"",1))</f>
        <v>1.75</v>
      </c>
      <c r="AB16" s="6">
        <f t="array" ref="AB16">(XLOOKUP(Players!$H15, Scoring!$A:$A, Scoring!$B:$B,"",1)) * (XLOOKUP(AB$2, Weightings!$C$2:$C$36, Weightings!$I$2:$I$36,"",1))</f>
        <v>1.56</v>
      </c>
      <c r="AC16" s="6">
        <f t="array" ref="AC16">(XLOOKUP(Players!$H15, Scoring!$A:$A, Scoring!$B:$B,"",1)) * (XLOOKUP(AC$2, Weightings!$C$2:$C$36, Weightings!$I$2:$I$36,"",1))</f>
        <v>2.6</v>
      </c>
      <c r="AD16" s="6">
        <f t="array" ref="AD16">(XLOOKUP(Players!$I15, Scoring!$A:$A, Scoring!$B:$B,"",1)) * (XLOOKUP(AD$2, Weightings!$C$2:$C$36, Weightings!$I$2:$I$36,"",1))</f>
        <v>2.08</v>
      </c>
      <c r="AE16" s="6">
        <f t="array" ref="AE16">(XLOOKUP(Players!$I15, Scoring!$A:$A, Scoring!$B:$B,"",1)) * (XLOOKUP(AE$2, Weightings!$C$2:$C$36, Weightings!$I$2:$I$36,"",1))</f>
        <v>3.64</v>
      </c>
      <c r="AF16" s="6">
        <f t="array" ref="AF16">(XLOOKUP(Players!$I15, Scoring!$A:$A, Scoring!$B:$B,"",1)) * (XLOOKUP(AF$2, Weightings!$C$2:$C$36, Weightings!$I$2:$I$36,"",1))</f>
        <v>1.56</v>
      </c>
      <c r="AG16" s="6">
        <f t="array" ref="AG16">(XLOOKUP(Players!$I15, Scoring!$A:$A, Scoring!$B:$B,"",1)) * (XLOOKUP(AG$2, Weightings!$C$2:$C$36, Weightings!$I$2:$I$36,"",1))</f>
        <v>1.56</v>
      </c>
      <c r="AH16" s="6">
        <f t="array" ref="AH16">(XLOOKUP(Players!$J15, Scoring!$A:$A, Scoring!$B:$B,"",1)) * (XLOOKUP(AH$2, Weightings!$C$2:$C$36, Weightings!$I$2:$I$36,"",1))</f>
        <v>1.4</v>
      </c>
      <c r="AI16" s="6">
        <f t="array" ref="AI16">(XLOOKUP(Players!$J15, Scoring!$A:$A, Scoring!$B:$B,"",1)) * (XLOOKUP(AI$2, Weightings!$C$2:$C$36, Weightings!$I$2:$I$36,"",1))</f>
        <v>1.4</v>
      </c>
      <c r="AJ16" s="6">
        <f t="array" ref="AJ16">(XLOOKUP(Players!$J15, Scoring!$A:$A, Scoring!$B:$B,"",1)) * (XLOOKUP(AJ$2, Weightings!$C$2:$C$36, Weightings!$I$2:$I$36,"",1))</f>
        <v>0.35</v>
      </c>
      <c r="AK16" s="6">
        <f t="shared" si="1"/>
        <v>40.95</v>
      </c>
    </row>
    <row r="17">
      <c r="A17" s="4" t="s">
        <v>31</v>
      </c>
      <c r="B17" s="6">
        <f t="array" ref="B17">(XLOOKUP(Players!$B16, Scoring!$A:$A, Scoring!$B:$B,"",1)) * (XLOOKUP(B$2, Weightings!$C$2:$C$36, Weightings!$I$2:$I$36,"",1))</f>
        <v>1.4</v>
      </c>
      <c r="C17" s="6">
        <f t="array" ref="C17">(XLOOKUP(Players!$B16, Scoring!$A:$A, Scoring!$B:$B,"",1)) * (XLOOKUP(C$2, Weightings!$C$2:$C$36, Weightings!$I$2:$I$36,"",1))</f>
        <v>0.7</v>
      </c>
      <c r="D17" s="6">
        <f t="array" ref="D17">(XLOOKUP(Players!$B16, Scoring!$A:$A, Scoring!$B:$B,"",1)) * (XLOOKUP(D$2, Weightings!$C$2:$C$36, Weightings!$I$2:$I$36,"",1))</f>
        <v>0</v>
      </c>
      <c r="E17" s="6">
        <f t="array" ref="E17">(XLOOKUP(Players!$B16, Scoring!$A:$A, Scoring!$B:$B,"",1)) * (XLOOKUP(E$2, Weightings!$C$2:$C$36, Weightings!$I$2:$I$36,"",1))</f>
        <v>0.7</v>
      </c>
      <c r="F17" s="6">
        <f t="array" ref="F17">(XLOOKUP(Players!$C16, Scoring!$A:$A, Scoring!$B:$B,"",1)) * (XLOOKUP(F$2, Weightings!$C$2:$C$36, Weightings!$I$2:$I$36,"",1))</f>
        <v>1.75</v>
      </c>
      <c r="G17" s="6">
        <f t="array" ref="G17">(XLOOKUP(Players!$C16, Scoring!$A:$A, Scoring!$B:$B,"",1)) * (XLOOKUP(G$2, Weightings!$C$2:$C$36, Weightings!$I$2:$I$36,"",1))</f>
        <v>1.75</v>
      </c>
      <c r="H17" s="6">
        <f t="array" ref="H17">(XLOOKUP(Players!$C16, Scoring!$A:$A, Scoring!$B:$B,"",1)) * (XLOOKUP(H$2, Weightings!$C$2:$C$36, Weightings!$I$2:$I$36,"",1))</f>
        <v>0.7</v>
      </c>
      <c r="I17" s="6">
        <f t="array" ref="I17">(XLOOKUP(Players!$D16, Scoring!$A:$A, Scoring!$B:$B,"",1)) * (XLOOKUP(I$2, Weightings!$C$2:$C$36, Weightings!$I$2:$I$36,"",1))</f>
        <v>0.7</v>
      </c>
      <c r="J17" s="6">
        <f t="array" ref="J17">(XLOOKUP(Players!$D16, Scoring!$A:$A, Scoring!$B:$B,"",1)) * (XLOOKUP(J$2, Weightings!$C$2:$C$36, Weightings!$I$2:$I$36,"",1))</f>
        <v>0.7</v>
      </c>
      <c r="K17" s="6">
        <f t="array" ref="K17">(XLOOKUP(Players!$D16, Scoring!$A:$A, Scoring!$B:$B,"",1)) * (XLOOKUP(K$2, Weightings!$C$2:$C$36, Weightings!$I$2:$I$36,"",1))</f>
        <v>0.35</v>
      </c>
      <c r="L17" s="6">
        <f t="array" ref="L17">(XLOOKUP(Players!$D16, Scoring!$A:$A, Scoring!$B:$B,"",1)) * (XLOOKUP(L$2, Weightings!$C$2:$C$36, Weightings!$I$2:$I$36,"",1))</f>
        <v>1.05</v>
      </c>
      <c r="M17" s="6">
        <f t="array" ref="M17">(XLOOKUP(Players!$E16, Scoring!$A:$A, Scoring!$B:$B,"",1)) * (XLOOKUP(M$2, Weightings!$C$2:$C$36, Weightings!$I$2:$I$36,"",1))</f>
        <v>1.05</v>
      </c>
      <c r="N17" s="6">
        <f t="array" ref="N17">(XLOOKUP(Players!$E16, Scoring!$A:$A, Scoring!$B:$B,"",1)) * (XLOOKUP(N$2, Weightings!$C$2:$C$36, Weightings!$I$2:$I$36,"",1))</f>
        <v>0</v>
      </c>
      <c r="O17" s="6">
        <f t="array" ref="O17">(XLOOKUP(Players!$E16, Scoring!$A:$A, Scoring!$B:$B,"",1)) * (XLOOKUP(O$2, Weightings!$C$2:$C$36, Weightings!$I$2:$I$36,"",1))</f>
        <v>0</v>
      </c>
      <c r="P17" s="6">
        <f t="array" ref="P17">(XLOOKUP(Players!$E16, Scoring!$A:$A, Scoring!$B:$B,"",1)) * (XLOOKUP(P$2, Weightings!$C$2:$C$36, Weightings!$I$2:$I$36,"",1))</f>
        <v>0</v>
      </c>
      <c r="Q17" s="6">
        <f t="array" ref="Q17">(XLOOKUP(Players!$E16, Scoring!$A:$A, Scoring!$B:$B,"",1)) * (XLOOKUP(Q$2, Weightings!$C$2:$C$36, Weightings!$I$2:$I$36,"",1))</f>
        <v>0</v>
      </c>
      <c r="R17" s="6">
        <f t="array" ref="R17">(XLOOKUP(Players!$F16, Scoring!$A:$A, Scoring!$B:$B,"",1)) * (XLOOKUP(R$2, Weightings!$C$2:$C$36, Weightings!$I$2:$I$36,"",1))</f>
        <v>1.56</v>
      </c>
      <c r="S17" s="6">
        <f t="array" ref="S17">(XLOOKUP(Players!$F16, Scoring!$A:$A, Scoring!$B:$B,"",1)) * (XLOOKUP(S$2, Weightings!$C$2:$C$36, Weightings!$I$2:$I$36,"",1))</f>
        <v>0.52</v>
      </c>
      <c r="T17" s="6">
        <f t="array" ref="T17">(XLOOKUP(Players!$F16, Scoring!$A:$A, Scoring!$B:$B,"",1)) * (XLOOKUP(T$2, Weightings!$C$2:$C$36, Weightings!$I$2:$I$36,"",1))</f>
        <v>2.08</v>
      </c>
      <c r="U17" s="6">
        <f t="array" ref="U17">(XLOOKUP(Players!$F16, Scoring!$A:$A, Scoring!$B:$B,"",1)) * (XLOOKUP(U$2, Weightings!$C$2:$C$36, Weightings!$I$2:$I$36,"",1))</f>
        <v>1.04</v>
      </c>
      <c r="V17" s="6">
        <f t="array" ref="V17">(XLOOKUP(Players!$G16, Scoring!$A:$A, Scoring!$B:$B,"",1)) * (XLOOKUP(V$2, Weightings!$C$2:$C$36, Weightings!$I$2:$I$36,"",1))</f>
        <v>1.75</v>
      </c>
      <c r="W17" s="6">
        <f t="array" ref="W17">(XLOOKUP(Players!$G16, Scoring!$A:$A, Scoring!$B:$B,"",1)) * (XLOOKUP(W$2, Weightings!$C$2:$C$36, Weightings!$I$2:$I$36,"",1))</f>
        <v>1.05</v>
      </c>
      <c r="X17" s="6">
        <f t="array" ref="X17">(XLOOKUP(Players!$G16, Scoring!$A:$A, Scoring!$B:$B,"",1)) * (XLOOKUP(X$2, Weightings!$C$2:$C$36, Weightings!$I$2:$I$36,"",1))</f>
        <v>1.75</v>
      </c>
      <c r="Y17" s="6">
        <f t="array" ref="Y17">(XLOOKUP(Players!$G16, Scoring!$A:$A, Scoring!$B:$B,"",1)) * (XLOOKUP(Y$2, Weightings!$C$2:$C$36, Weightings!$I$2:$I$36,"",1))</f>
        <v>1.4</v>
      </c>
      <c r="Z17" s="6">
        <f t="array" ref="Z17">(XLOOKUP(Players!$G16, Scoring!$A:$A, Scoring!$B:$B,"",1)) * (XLOOKUP(Z$2, Weightings!$C$2:$C$36, Weightings!$I$2:$I$36,"",1))</f>
        <v>1.05</v>
      </c>
      <c r="AA17" s="6">
        <f t="array" ref="AA17">(XLOOKUP(Players!$G16, Scoring!$A:$A, Scoring!$B:$B,"",1)) * (XLOOKUP(AA$2, Weightings!$C$2:$C$36, Weightings!$I$2:$I$36,"",1))</f>
        <v>1.75</v>
      </c>
      <c r="AB17" s="6">
        <f t="array" ref="AB17">(XLOOKUP(Players!$H16, Scoring!$A:$A, Scoring!$B:$B,"",1)) * (XLOOKUP(AB$2, Weightings!$C$2:$C$36, Weightings!$I$2:$I$36,"",1))</f>
        <v>1.56</v>
      </c>
      <c r="AC17" s="6">
        <f t="array" ref="AC17">(XLOOKUP(Players!$H16, Scoring!$A:$A, Scoring!$B:$B,"",1)) * (XLOOKUP(AC$2, Weightings!$C$2:$C$36, Weightings!$I$2:$I$36,"",1))</f>
        <v>2.6</v>
      </c>
      <c r="AD17" s="6">
        <f t="array" ref="AD17">(XLOOKUP(Players!$I16, Scoring!$A:$A, Scoring!$B:$B,"",1)) * (XLOOKUP(AD$2, Weightings!$C$2:$C$36, Weightings!$I$2:$I$36,"",1))</f>
        <v>2.08</v>
      </c>
      <c r="AE17" s="6">
        <f t="array" ref="AE17">(XLOOKUP(Players!$I16, Scoring!$A:$A, Scoring!$B:$B,"",1)) * (XLOOKUP(AE$2, Weightings!$C$2:$C$36, Weightings!$I$2:$I$36,"",1))</f>
        <v>3.64</v>
      </c>
      <c r="AF17" s="6">
        <f t="array" ref="AF17">(XLOOKUP(Players!$I16, Scoring!$A:$A, Scoring!$B:$B,"",1)) * (XLOOKUP(AF$2, Weightings!$C$2:$C$36, Weightings!$I$2:$I$36,"",1))</f>
        <v>1.56</v>
      </c>
      <c r="AG17" s="6">
        <f t="array" ref="AG17">(XLOOKUP(Players!$I16, Scoring!$A:$A, Scoring!$B:$B,"",1)) * (XLOOKUP(AG$2, Weightings!$C$2:$C$36, Weightings!$I$2:$I$36,"",1))</f>
        <v>1.56</v>
      </c>
      <c r="AH17" s="6">
        <f t="array" ref="AH17">(XLOOKUP(Players!$J16, Scoring!$A:$A, Scoring!$B:$B,"",1)) * (XLOOKUP(AH$2, Weightings!$C$2:$C$36, Weightings!$I$2:$I$36,"",1))</f>
        <v>2.08</v>
      </c>
      <c r="AI17" s="6">
        <f t="array" ref="AI17">(XLOOKUP(Players!$J16, Scoring!$A:$A, Scoring!$B:$B,"",1)) * (XLOOKUP(AI$2, Weightings!$C$2:$C$36, Weightings!$I$2:$I$36,"",1))</f>
        <v>2.08</v>
      </c>
      <c r="AJ17" s="6">
        <f t="array" ref="AJ17">(XLOOKUP(Players!$J16, Scoring!$A:$A, Scoring!$B:$B,"",1)) * (XLOOKUP(AJ$2, Weightings!$C$2:$C$36, Weightings!$I$2:$I$36,"",1))</f>
        <v>0.52</v>
      </c>
      <c r="AK17" s="6">
        <f t="shared" si="1"/>
        <v>42.48</v>
      </c>
    </row>
    <row r="18">
      <c r="A18" s="4" t="s">
        <v>32</v>
      </c>
      <c r="B18" s="6">
        <f t="array" ref="B18">(XLOOKUP(Players!$B17, Scoring!$A:$A, Scoring!$B:$B,"",1)) * (XLOOKUP(B$2, Weightings!$C$2:$C$36, Weightings!$I$2:$I$36,"",1))</f>
        <v>2.08</v>
      </c>
      <c r="C18" s="6">
        <f t="array" ref="C18">(XLOOKUP(Players!$B17, Scoring!$A:$A, Scoring!$B:$B,"",1)) * (XLOOKUP(C$2, Weightings!$C$2:$C$36, Weightings!$I$2:$I$36,"",1))</f>
        <v>1.04</v>
      </c>
      <c r="D18" s="6">
        <f t="array" ref="D18">(XLOOKUP(Players!$B17, Scoring!$A:$A, Scoring!$B:$B,"",1)) * (XLOOKUP(D$2, Weightings!$C$2:$C$36, Weightings!$I$2:$I$36,"",1))</f>
        <v>0</v>
      </c>
      <c r="E18" s="6">
        <f t="array" ref="E18">(XLOOKUP(Players!$B17, Scoring!$A:$A, Scoring!$B:$B,"",1)) * (XLOOKUP(E$2, Weightings!$C$2:$C$36, Weightings!$I$2:$I$36,"",1))</f>
        <v>1.04</v>
      </c>
      <c r="F18" s="6">
        <f t="array" ref="F18">(XLOOKUP(Players!$C17, Scoring!$A:$A, Scoring!$B:$B,"",1)) * (XLOOKUP(F$2, Weightings!$C$2:$C$36, Weightings!$I$2:$I$36,"",1))</f>
        <v>2.6</v>
      </c>
      <c r="G18" s="6">
        <f t="array" ref="G18">(XLOOKUP(Players!$C17, Scoring!$A:$A, Scoring!$B:$B,"",1)) * (XLOOKUP(G$2, Weightings!$C$2:$C$36, Weightings!$I$2:$I$36,"",1))</f>
        <v>2.6</v>
      </c>
      <c r="H18" s="6">
        <f t="array" ref="H18">(XLOOKUP(Players!$C17, Scoring!$A:$A, Scoring!$B:$B,"",1)) * (XLOOKUP(H$2, Weightings!$C$2:$C$36, Weightings!$I$2:$I$36,"",1))</f>
        <v>1.04</v>
      </c>
      <c r="I18" s="6">
        <f t="array" ref="I18">(XLOOKUP(Players!$D17, Scoring!$A:$A, Scoring!$B:$B,"",1)) * (XLOOKUP(I$2, Weightings!$C$2:$C$36, Weightings!$I$2:$I$36,"",1))</f>
        <v>0.7</v>
      </c>
      <c r="J18" s="6">
        <f t="array" ref="J18">(XLOOKUP(Players!$D17, Scoring!$A:$A, Scoring!$B:$B,"",1)) * (XLOOKUP(J$2, Weightings!$C$2:$C$36, Weightings!$I$2:$I$36,"",1))</f>
        <v>0.7</v>
      </c>
      <c r="K18" s="6">
        <f t="array" ref="K18">(XLOOKUP(Players!$D17, Scoring!$A:$A, Scoring!$B:$B,"",1)) * (XLOOKUP(K$2, Weightings!$C$2:$C$36, Weightings!$I$2:$I$36,"",1))</f>
        <v>0.35</v>
      </c>
      <c r="L18" s="6">
        <f t="array" ref="L18">(XLOOKUP(Players!$D17, Scoring!$A:$A, Scoring!$B:$B,"",1)) * (XLOOKUP(L$2, Weightings!$C$2:$C$36, Weightings!$I$2:$I$36,"",1))</f>
        <v>1.05</v>
      </c>
      <c r="M18" s="6">
        <f t="array" ref="M18">(XLOOKUP(Players!$E17, Scoring!$A:$A, Scoring!$B:$B,"",1)) * (XLOOKUP(M$2, Weightings!$C$2:$C$36, Weightings!$I$2:$I$36,"",1))</f>
        <v>1.05</v>
      </c>
      <c r="N18" s="6">
        <f t="array" ref="N18">(XLOOKUP(Players!$E17, Scoring!$A:$A, Scoring!$B:$B,"",1)) * (XLOOKUP(N$2, Weightings!$C$2:$C$36, Weightings!$I$2:$I$36,"",1))</f>
        <v>0</v>
      </c>
      <c r="O18" s="6">
        <f t="array" ref="O18">(XLOOKUP(Players!$E17, Scoring!$A:$A, Scoring!$B:$B,"",1)) * (XLOOKUP(O$2, Weightings!$C$2:$C$36, Weightings!$I$2:$I$36,"",1))</f>
        <v>0</v>
      </c>
      <c r="P18" s="6">
        <f t="array" ref="P18">(XLOOKUP(Players!$E17, Scoring!$A:$A, Scoring!$B:$B,"",1)) * (XLOOKUP(P$2, Weightings!$C$2:$C$36, Weightings!$I$2:$I$36,"",1))</f>
        <v>0</v>
      </c>
      <c r="Q18" s="6">
        <f t="array" ref="Q18">(XLOOKUP(Players!$E17, Scoring!$A:$A, Scoring!$B:$B,"",1)) * (XLOOKUP(Q$2, Weightings!$C$2:$C$36, Weightings!$I$2:$I$36,"",1))</f>
        <v>0</v>
      </c>
      <c r="R18" s="6">
        <f t="array" ref="R18">(XLOOKUP(Players!$F17, Scoring!$A:$A, Scoring!$B:$B,"",1)) * (XLOOKUP(R$2, Weightings!$C$2:$C$36, Weightings!$I$2:$I$36,"",1))</f>
        <v>1.56</v>
      </c>
      <c r="S18" s="6">
        <f t="array" ref="S18">(XLOOKUP(Players!$F17, Scoring!$A:$A, Scoring!$B:$B,"",1)) * (XLOOKUP(S$2, Weightings!$C$2:$C$36, Weightings!$I$2:$I$36,"",1))</f>
        <v>0.52</v>
      </c>
      <c r="T18" s="6">
        <f t="array" ref="T18">(XLOOKUP(Players!$F17, Scoring!$A:$A, Scoring!$B:$B,"",1)) * (XLOOKUP(T$2, Weightings!$C$2:$C$36, Weightings!$I$2:$I$36,"",1))</f>
        <v>2.08</v>
      </c>
      <c r="U18" s="6">
        <f t="array" ref="U18">(XLOOKUP(Players!$F17, Scoring!$A:$A, Scoring!$B:$B,"",1)) * (XLOOKUP(U$2, Weightings!$C$2:$C$36, Weightings!$I$2:$I$36,"",1))</f>
        <v>1.04</v>
      </c>
      <c r="V18" s="6">
        <f t="array" ref="V18">(XLOOKUP(Players!$G17, Scoring!$A:$A, Scoring!$B:$B,"",1)) * (XLOOKUP(V$2, Weightings!$C$2:$C$36, Weightings!$I$2:$I$36,"",1))</f>
        <v>1.75</v>
      </c>
      <c r="W18" s="6">
        <f t="array" ref="W18">(XLOOKUP(Players!$G17, Scoring!$A:$A, Scoring!$B:$B,"",1)) * (XLOOKUP(W$2, Weightings!$C$2:$C$36, Weightings!$I$2:$I$36,"",1))</f>
        <v>1.05</v>
      </c>
      <c r="X18" s="6">
        <f t="array" ref="X18">(XLOOKUP(Players!$G17, Scoring!$A:$A, Scoring!$B:$B,"",1)) * (XLOOKUP(X$2, Weightings!$C$2:$C$36, Weightings!$I$2:$I$36,"",1))</f>
        <v>1.75</v>
      </c>
      <c r="Y18" s="6">
        <f t="array" ref="Y18">(XLOOKUP(Players!$G17, Scoring!$A:$A, Scoring!$B:$B,"",1)) * (XLOOKUP(Y$2, Weightings!$C$2:$C$36, Weightings!$I$2:$I$36,"",1))</f>
        <v>1.4</v>
      </c>
      <c r="Z18" s="6">
        <f t="array" ref="Z18">(XLOOKUP(Players!$G17, Scoring!$A:$A, Scoring!$B:$B,"",1)) * (XLOOKUP(Z$2, Weightings!$C$2:$C$36, Weightings!$I$2:$I$36,"",1))</f>
        <v>1.05</v>
      </c>
      <c r="AA18" s="6">
        <f t="array" ref="AA18">(XLOOKUP(Players!$G17, Scoring!$A:$A, Scoring!$B:$B,"",1)) * (XLOOKUP(AA$2, Weightings!$C$2:$C$36, Weightings!$I$2:$I$36,"",1))</f>
        <v>1.75</v>
      </c>
      <c r="AB18" s="6">
        <f t="array" ref="AB18">(XLOOKUP(Players!$H17, Scoring!$A:$A, Scoring!$B:$B,"",1)) * (XLOOKUP(AB$2, Weightings!$C$2:$C$36, Weightings!$I$2:$I$36,"",1))</f>
        <v>1.56</v>
      </c>
      <c r="AC18" s="6">
        <f t="array" ref="AC18">(XLOOKUP(Players!$H17, Scoring!$A:$A, Scoring!$B:$B,"",1)) * (XLOOKUP(AC$2, Weightings!$C$2:$C$36, Weightings!$I$2:$I$36,"",1))</f>
        <v>2.6</v>
      </c>
      <c r="AD18" s="6">
        <f t="array" ref="AD18">(XLOOKUP(Players!$I17, Scoring!$A:$A, Scoring!$B:$B,"",1)) * (XLOOKUP(AD$2, Weightings!$C$2:$C$36, Weightings!$I$2:$I$36,"",1))</f>
        <v>1.4</v>
      </c>
      <c r="AE18" s="6">
        <f t="array" ref="AE18">(XLOOKUP(Players!$I17, Scoring!$A:$A, Scoring!$B:$B,"",1)) * (XLOOKUP(AE$2, Weightings!$C$2:$C$36, Weightings!$I$2:$I$36,"",1))</f>
        <v>2.45</v>
      </c>
      <c r="AF18" s="6">
        <f t="array" ref="AF18">(XLOOKUP(Players!$I17, Scoring!$A:$A, Scoring!$B:$B,"",1)) * (XLOOKUP(AF$2, Weightings!$C$2:$C$36, Weightings!$I$2:$I$36,"",1))</f>
        <v>1.05</v>
      </c>
      <c r="AG18" s="6">
        <f t="array" ref="AG18">(XLOOKUP(Players!$I17, Scoring!$A:$A, Scoring!$B:$B,"",1)) * (XLOOKUP(AG$2, Weightings!$C$2:$C$36, Weightings!$I$2:$I$36,"",1))</f>
        <v>1.05</v>
      </c>
      <c r="AH18" s="6">
        <f t="array" ref="AH18">(XLOOKUP(Players!$J17, Scoring!$A:$A, Scoring!$B:$B,"",1)) * (XLOOKUP(AH$2, Weightings!$C$2:$C$36, Weightings!$I$2:$I$36,"",1))</f>
        <v>2.08</v>
      </c>
      <c r="AI18" s="6">
        <f t="array" ref="AI18">(XLOOKUP(Players!$J17, Scoring!$A:$A, Scoring!$B:$B,"",1)) * (XLOOKUP(AI$2, Weightings!$C$2:$C$36, Weightings!$I$2:$I$36,"",1))</f>
        <v>2.08</v>
      </c>
      <c r="AJ18" s="6">
        <f t="array" ref="AJ18">(XLOOKUP(Players!$J17, Scoring!$A:$A, Scoring!$B:$B,"",1)) * (XLOOKUP(AJ$2, Weightings!$C$2:$C$36, Weightings!$I$2:$I$36,"",1))</f>
        <v>0.52</v>
      </c>
      <c r="AK18" s="6">
        <f t="shared" si="1"/>
        <v>42.99</v>
      </c>
    </row>
    <row r="19">
      <c r="A19" s="4" t="s">
        <v>33</v>
      </c>
      <c r="B19" s="6">
        <f t="array" ref="B19">(XLOOKUP(Players!$B18, Scoring!$A:$A, Scoring!$B:$B,"",1)) * (XLOOKUP(B$2, Weightings!$C$2:$C$36, Weightings!$I$2:$I$36,"",1))</f>
        <v>2.08</v>
      </c>
      <c r="C19" s="6">
        <f t="array" ref="C19">(XLOOKUP(Players!$B18, Scoring!$A:$A, Scoring!$B:$B,"",1)) * (XLOOKUP(C$2, Weightings!$C$2:$C$36, Weightings!$I$2:$I$36,"",1))</f>
        <v>1.04</v>
      </c>
      <c r="D19" s="6">
        <f t="array" ref="D19">(XLOOKUP(Players!$B18, Scoring!$A:$A, Scoring!$B:$B,"",1)) * (XLOOKUP(D$2, Weightings!$C$2:$C$36, Weightings!$I$2:$I$36,"",1))</f>
        <v>0</v>
      </c>
      <c r="E19" s="6">
        <f t="array" ref="E19">(XLOOKUP(Players!$B18, Scoring!$A:$A, Scoring!$B:$B,"",1)) * (XLOOKUP(E$2, Weightings!$C$2:$C$36, Weightings!$I$2:$I$36,"",1))</f>
        <v>1.04</v>
      </c>
      <c r="F19" s="6">
        <f t="array" ref="F19">(XLOOKUP(Players!$C18, Scoring!$A:$A, Scoring!$B:$B,"",1)) * (XLOOKUP(F$2, Weightings!$C$2:$C$36, Weightings!$I$2:$I$36,"",1))</f>
        <v>1.75</v>
      </c>
      <c r="G19" s="6">
        <f t="array" ref="G19">(XLOOKUP(Players!$C18, Scoring!$A:$A, Scoring!$B:$B,"",1)) * (XLOOKUP(G$2, Weightings!$C$2:$C$36, Weightings!$I$2:$I$36,"",1))</f>
        <v>1.75</v>
      </c>
      <c r="H19" s="6">
        <f t="array" ref="H19">(XLOOKUP(Players!$C18, Scoring!$A:$A, Scoring!$B:$B,"",1)) * (XLOOKUP(H$2, Weightings!$C$2:$C$36, Weightings!$I$2:$I$36,"",1))</f>
        <v>0.7</v>
      </c>
      <c r="I19" s="6">
        <f t="array" ref="I19">(XLOOKUP(Players!$D18, Scoring!$A:$A, Scoring!$B:$B,"",1)) * (XLOOKUP(I$2, Weightings!$C$2:$C$36, Weightings!$I$2:$I$36,"",1))</f>
        <v>1.04</v>
      </c>
      <c r="J19" s="6">
        <f t="array" ref="J19">(XLOOKUP(Players!$D18, Scoring!$A:$A, Scoring!$B:$B,"",1)) * (XLOOKUP(J$2, Weightings!$C$2:$C$36, Weightings!$I$2:$I$36,"",1))</f>
        <v>1.04</v>
      </c>
      <c r="K19" s="6">
        <f t="array" ref="K19">(XLOOKUP(Players!$D18, Scoring!$A:$A, Scoring!$B:$B,"",1)) * (XLOOKUP(K$2, Weightings!$C$2:$C$36, Weightings!$I$2:$I$36,"",1))</f>
        <v>0.52</v>
      </c>
      <c r="L19" s="6">
        <f t="array" ref="L19">(XLOOKUP(Players!$D18, Scoring!$A:$A, Scoring!$B:$B,"",1)) * (XLOOKUP(L$2, Weightings!$C$2:$C$36, Weightings!$I$2:$I$36,"",1))</f>
        <v>1.56</v>
      </c>
      <c r="M19" s="6">
        <f t="array" ref="M19">(XLOOKUP(Players!$E18, Scoring!$A:$A, Scoring!$B:$B,"",1)) * (XLOOKUP(M$2, Weightings!$C$2:$C$36, Weightings!$I$2:$I$36,"",1))</f>
        <v>1.05</v>
      </c>
      <c r="N19" s="6">
        <f t="array" ref="N19">(XLOOKUP(Players!$E18, Scoring!$A:$A, Scoring!$B:$B,"",1)) * (XLOOKUP(N$2, Weightings!$C$2:$C$36, Weightings!$I$2:$I$36,"",1))</f>
        <v>0</v>
      </c>
      <c r="O19" s="6">
        <f t="array" ref="O19">(XLOOKUP(Players!$E18, Scoring!$A:$A, Scoring!$B:$B,"",1)) * (XLOOKUP(O$2, Weightings!$C$2:$C$36, Weightings!$I$2:$I$36,"",1))</f>
        <v>0</v>
      </c>
      <c r="P19" s="6">
        <f t="array" ref="P19">(XLOOKUP(Players!$E18, Scoring!$A:$A, Scoring!$B:$B,"",1)) * (XLOOKUP(P$2, Weightings!$C$2:$C$36, Weightings!$I$2:$I$36,"",1))</f>
        <v>0</v>
      </c>
      <c r="Q19" s="6">
        <f t="array" ref="Q19">(XLOOKUP(Players!$E18, Scoring!$A:$A, Scoring!$B:$B,"",1)) * (XLOOKUP(Q$2, Weightings!$C$2:$C$36, Weightings!$I$2:$I$36,"",1))</f>
        <v>0</v>
      </c>
      <c r="R19" s="6">
        <f t="array" ref="R19">(XLOOKUP(Players!$F18, Scoring!$A:$A, Scoring!$B:$B,"",1)) * (XLOOKUP(R$2, Weightings!$C$2:$C$36, Weightings!$I$2:$I$36,"",1))</f>
        <v>1.05</v>
      </c>
      <c r="S19" s="6">
        <f t="array" ref="S19">(XLOOKUP(Players!$F18, Scoring!$A:$A, Scoring!$B:$B,"",1)) * (XLOOKUP(S$2, Weightings!$C$2:$C$36, Weightings!$I$2:$I$36,"",1))</f>
        <v>0.35</v>
      </c>
      <c r="T19" s="6">
        <f t="array" ref="T19">(XLOOKUP(Players!$F18, Scoring!$A:$A, Scoring!$B:$B,"",1)) * (XLOOKUP(T$2, Weightings!$C$2:$C$36, Weightings!$I$2:$I$36,"",1))</f>
        <v>1.4</v>
      </c>
      <c r="U19" s="6">
        <f t="array" ref="U19">(XLOOKUP(Players!$F18, Scoring!$A:$A, Scoring!$B:$B,"",1)) * (XLOOKUP(U$2, Weightings!$C$2:$C$36, Weightings!$I$2:$I$36,"",1))</f>
        <v>0.7</v>
      </c>
      <c r="V19" s="6">
        <f t="array" ref="V19">(XLOOKUP(Players!$G18, Scoring!$A:$A, Scoring!$B:$B,"",1)) * (XLOOKUP(V$2, Weightings!$C$2:$C$36, Weightings!$I$2:$I$36,"",1))</f>
        <v>1.75</v>
      </c>
      <c r="W19" s="6">
        <f t="array" ref="W19">(XLOOKUP(Players!$G18, Scoring!$A:$A, Scoring!$B:$B,"",1)) * (XLOOKUP(W$2, Weightings!$C$2:$C$36, Weightings!$I$2:$I$36,"",1))</f>
        <v>1.05</v>
      </c>
      <c r="X19" s="6">
        <f t="array" ref="X19">(XLOOKUP(Players!$G18, Scoring!$A:$A, Scoring!$B:$B,"",1)) * (XLOOKUP(X$2, Weightings!$C$2:$C$36, Weightings!$I$2:$I$36,"",1))</f>
        <v>1.75</v>
      </c>
      <c r="Y19" s="6">
        <f t="array" ref="Y19">(XLOOKUP(Players!$G18, Scoring!$A:$A, Scoring!$B:$B,"",1)) * (XLOOKUP(Y$2, Weightings!$C$2:$C$36, Weightings!$I$2:$I$36,"",1))</f>
        <v>1.4</v>
      </c>
      <c r="Z19" s="6">
        <f t="array" ref="Z19">(XLOOKUP(Players!$G18, Scoring!$A:$A, Scoring!$B:$B,"",1)) * (XLOOKUP(Z$2, Weightings!$C$2:$C$36, Weightings!$I$2:$I$36,"",1))</f>
        <v>1.05</v>
      </c>
      <c r="AA19" s="6">
        <f t="array" ref="AA19">(XLOOKUP(Players!$G18, Scoring!$A:$A, Scoring!$B:$B,"",1)) * (XLOOKUP(AA$2, Weightings!$C$2:$C$36, Weightings!$I$2:$I$36,"",1))</f>
        <v>1.75</v>
      </c>
      <c r="AB19" s="6">
        <f t="array" ref="AB19">(XLOOKUP(Players!$H18, Scoring!$A:$A, Scoring!$B:$B,"",1)) * (XLOOKUP(AB$2, Weightings!$C$2:$C$36, Weightings!$I$2:$I$36,"",1))</f>
        <v>1.56</v>
      </c>
      <c r="AC19" s="6">
        <f t="array" ref="AC19">(XLOOKUP(Players!$H18, Scoring!$A:$A, Scoring!$B:$B,"",1)) * (XLOOKUP(AC$2, Weightings!$C$2:$C$36, Weightings!$I$2:$I$36,"",1))</f>
        <v>2.6</v>
      </c>
      <c r="AD19" s="6">
        <f t="array" ref="AD19">(XLOOKUP(Players!$I18, Scoring!$A:$A, Scoring!$B:$B,"",1)) * (XLOOKUP(AD$2, Weightings!$C$2:$C$36, Weightings!$I$2:$I$36,"",1))</f>
        <v>1.4</v>
      </c>
      <c r="AE19" s="6">
        <f t="array" ref="AE19">(XLOOKUP(Players!$I18, Scoring!$A:$A, Scoring!$B:$B,"",1)) * (XLOOKUP(AE$2, Weightings!$C$2:$C$36, Weightings!$I$2:$I$36,"",1))</f>
        <v>2.45</v>
      </c>
      <c r="AF19" s="6">
        <f t="array" ref="AF19">(XLOOKUP(Players!$I18, Scoring!$A:$A, Scoring!$B:$B,"",1)) * (XLOOKUP(AF$2, Weightings!$C$2:$C$36, Weightings!$I$2:$I$36,"",1))</f>
        <v>1.05</v>
      </c>
      <c r="AG19" s="6">
        <f t="array" ref="AG19">(XLOOKUP(Players!$I18, Scoring!$A:$A, Scoring!$B:$B,"",1)) * (XLOOKUP(AG$2, Weightings!$C$2:$C$36, Weightings!$I$2:$I$36,"",1))</f>
        <v>1.05</v>
      </c>
      <c r="AH19" s="6">
        <f t="array" ref="AH19">(XLOOKUP(Players!$J18, Scoring!$A:$A, Scoring!$B:$B,"",1)) * (XLOOKUP(AH$2, Weightings!$C$2:$C$36, Weightings!$I$2:$I$36,"",1))</f>
        <v>1.4</v>
      </c>
      <c r="AI19" s="6">
        <f t="array" ref="AI19">(XLOOKUP(Players!$J18, Scoring!$A:$A, Scoring!$B:$B,"",1)) * (XLOOKUP(AI$2, Weightings!$C$2:$C$36, Weightings!$I$2:$I$36,"",1))</f>
        <v>1.4</v>
      </c>
      <c r="AJ19" s="6">
        <f t="array" ref="AJ19">(XLOOKUP(Players!$J18, Scoring!$A:$A, Scoring!$B:$B,"",1)) * (XLOOKUP(AJ$2, Weightings!$C$2:$C$36, Weightings!$I$2:$I$36,"",1))</f>
        <v>0.35</v>
      </c>
      <c r="AK19" s="6">
        <f t="shared" si="1"/>
        <v>39.08</v>
      </c>
    </row>
    <row r="20">
      <c r="A20" s="4" t="s">
        <v>34</v>
      </c>
      <c r="B20" s="6">
        <f t="array" ref="B20">(XLOOKUP(Players!$B19, Scoring!$A:$A, Scoring!$B:$B,"",1)) * (XLOOKUP(B$2, Weightings!$C$2:$C$36, Weightings!$I$2:$I$36,"",1))</f>
        <v>1.4</v>
      </c>
      <c r="C20" s="6">
        <f t="array" ref="C20">(XLOOKUP(Players!$B19, Scoring!$A:$A, Scoring!$B:$B,"",1)) * (XLOOKUP(C$2, Weightings!$C$2:$C$36, Weightings!$I$2:$I$36,"",1))</f>
        <v>0.7</v>
      </c>
      <c r="D20" s="6">
        <f t="array" ref="D20">(XLOOKUP(Players!$B19, Scoring!$A:$A, Scoring!$B:$B,"",1)) * (XLOOKUP(D$2, Weightings!$C$2:$C$36, Weightings!$I$2:$I$36,"",1))</f>
        <v>0</v>
      </c>
      <c r="E20" s="6">
        <f t="array" ref="E20">(XLOOKUP(Players!$B19, Scoring!$A:$A, Scoring!$B:$B,"",1)) * (XLOOKUP(E$2, Weightings!$C$2:$C$36, Weightings!$I$2:$I$36,"",1))</f>
        <v>0.7</v>
      </c>
      <c r="F20" s="6">
        <f t="array" ref="F20">(XLOOKUP(Players!$C19, Scoring!$A:$A, Scoring!$B:$B,"",1)) * (XLOOKUP(F$2, Weightings!$C$2:$C$36, Weightings!$I$2:$I$36,"",1))</f>
        <v>1.75</v>
      </c>
      <c r="G20" s="6">
        <f t="array" ref="G20">(XLOOKUP(Players!$C19, Scoring!$A:$A, Scoring!$B:$B,"",1)) * (XLOOKUP(G$2, Weightings!$C$2:$C$36, Weightings!$I$2:$I$36,"",1))</f>
        <v>1.75</v>
      </c>
      <c r="H20" s="6">
        <f t="array" ref="H20">(XLOOKUP(Players!$C19, Scoring!$A:$A, Scoring!$B:$B,"",1)) * (XLOOKUP(H$2, Weightings!$C$2:$C$36, Weightings!$I$2:$I$36,"",1))</f>
        <v>0.7</v>
      </c>
      <c r="I20" s="6">
        <f t="array" ref="I20">(XLOOKUP(Players!$D19, Scoring!$A:$A, Scoring!$B:$B,"",1)) * (XLOOKUP(I$2, Weightings!$C$2:$C$36, Weightings!$I$2:$I$36,"",1))</f>
        <v>0.7</v>
      </c>
      <c r="J20" s="6">
        <f t="array" ref="J20">(XLOOKUP(Players!$D19, Scoring!$A:$A, Scoring!$B:$B,"",1)) * (XLOOKUP(J$2, Weightings!$C$2:$C$36, Weightings!$I$2:$I$36,"",1))</f>
        <v>0.7</v>
      </c>
      <c r="K20" s="6">
        <f t="array" ref="K20">(XLOOKUP(Players!$D19, Scoring!$A:$A, Scoring!$B:$B,"",1)) * (XLOOKUP(K$2, Weightings!$C$2:$C$36, Weightings!$I$2:$I$36,"",1))</f>
        <v>0.35</v>
      </c>
      <c r="L20" s="6">
        <f t="array" ref="L20">(XLOOKUP(Players!$D19, Scoring!$A:$A, Scoring!$B:$B,"",1)) * (XLOOKUP(L$2, Weightings!$C$2:$C$36, Weightings!$I$2:$I$36,"",1))</f>
        <v>1.05</v>
      </c>
      <c r="M20" s="6">
        <f t="array" ref="M20">(XLOOKUP(Players!$E19, Scoring!$A:$A, Scoring!$B:$B,"",1)) * (XLOOKUP(M$2, Weightings!$C$2:$C$36, Weightings!$I$2:$I$36,"",1))</f>
        <v>1.05</v>
      </c>
      <c r="N20" s="6">
        <f t="array" ref="N20">(XLOOKUP(Players!$E19, Scoring!$A:$A, Scoring!$B:$B,"",1)) * (XLOOKUP(N$2, Weightings!$C$2:$C$36, Weightings!$I$2:$I$36,"",1))</f>
        <v>0</v>
      </c>
      <c r="O20" s="6">
        <f t="array" ref="O20">(XLOOKUP(Players!$E19, Scoring!$A:$A, Scoring!$B:$B,"",1)) * (XLOOKUP(O$2, Weightings!$C$2:$C$36, Weightings!$I$2:$I$36,"",1))</f>
        <v>0</v>
      </c>
      <c r="P20" s="6">
        <f t="array" ref="P20">(XLOOKUP(Players!$E19, Scoring!$A:$A, Scoring!$B:$B,"",1)) * (XLOOKUP(P$2, Weightings!$C$2:$C$36, Weightings!$I$2:$I$36,"",1))</f>
        <v>0</v>
      </c>
      <c r="Q20" s="6">
        <f t="array" ref="Q20">(XLOOKUP(Players!$E19, Scoring!$A:$A, Scoring!$B:$B,"",1)) * (XLOOKUP(Q$2, Weightings!$C$2:$C$36, Weightings!$I$2:$I$36,"",1))</f>
        <v>0</v>
      </c>
      <c r="R20" s="6">
        <f t="array" ref="R20">(XLOOKUP(Players!$F19, Scoring!$A:$A, Scoring!$B:$B,"",1)) * (XLOOKUP(R$2, Weightings!$C$2:$C$36, Weightings!$I$2:$I$36,"",1))</f>
        <v>1.05</v>
      </c>
      <c r="S20" s="6">
        <f t="array" ref="S20">(XLOOKUP(Players!$F19, Scoring!$A:$A, Scoring!$B:$B,"",1)) * (XLOOKUP(S$2, Weightings!$C$2:$C$36, Weightings!$I$2:$I$36,"",1))</f>
        <v>0.35</v>
      </c>
      <c r="T20" s="6">
        <f t="array" ref="T20">(XLOOKUP(Players!$F19, Scoring!$A:$A, Scoring!$B:$B,"",1)) * (XLOOKUP(T$2, Weightings!$C$2:$C$36, Weightings!$I$2:$I$36,"",1))</f>
        <v>1.4</v>
      </c>
      <c r="U20" s="6">
        <f t="array" ref="U20">(XLOOKUP(Players!$F19, Scoring!$A:$A, Scoring!$B:$B,"",1)) * (XLOOKUP(U$2, Weightings!$C$2:$C$36, Weightings!$I$2:$I$36,"",1))</f>
        <v>0.7</v>
      </c>
      <c r="V20" s="6">
        <f t="array" ref="V20">(XLOOKUP(Players!$G19, Scoring!$A:$A, Scoring!$B:$B,"",1)) * (XLOOKUP(V$2, Weightings!$C$2:$C$36, Weightings!$I$2:$I$36,"",1))</f>
        <v>1.75</v>
      </c>
      <c r="W20" s="6">
        <f t="array" ref="W20">(XLOOKUP(Players!$G19, Scoring!$A:$A, Scoring!$B:$B,"",1)) * (XLOOKUP(W$2, Weightings!$C$2:$C$36, Weightings!$I$2:$I$36,"",1))</f>
        <v>1.05</v>
      </c>
      <c r="X20" s="6">
        <f t="array" ref="X20">(XLOOKUP(Players!$G19, Scoring!$A:$A, Scoring!$B:$B,"",1)) * (XLOOKUP(X$2, Weightings!$C$2:$C$36, Weightings!$I$2:$I$36,"",1))</f>
        <v>1.75</v>
      </c>
      <c r="Y20" s="6">
        <f t="array" ref="Y20">(XLOOKUP(Players!$G19, Scoring!$A:$A, Scoring!$B:$B,"",1)) * (XLOOKUP(Y$2, Weightings!$C$2:$C$36, Weightings!$I$2:$I$36,"",1))</f>
        <v>1.4</v>
      </c>
      <c r="Z20" s="6">
        <f t="array" ref="Z20">(XLOOKUP(Players!$G19, Scoring!$A:$A, Scoring!$B:$B,"",1)) * (XLOOKUP(Z$2, Weightings!$C$2:$C$36, Weightings!$I$2:$I$36,"",1))</f>
        <v>1.05</v>
      </c>
      <c r="AA20" s="6">
        <f t="array" ref="AA20">(XLOOKUP(Players!$G19, Scoring!$A:$A, Scoring!$B:$B,"",1)) * (XLOOKUP(AA$2, Weightings!$C$2:$C$36, Weightings!$I$2:$I$36,"",1))</f>
        <v>1.75</v>
      </c>
      <c r="AB20" s="6">
        <f t="array" ref="AB20">(XLOOKUP(Players!$H19, Scoring!$A:$A, Scoring!$B:$B,"",1)) * (XLOOKUP(AB$2, Weightings!$C$2:$C$36, Weightings!$I$2:$I$36,"",1))</f>
        <v>1.05</v>
      </c>
      <c r="AC20" s="6">
        <f t="array" ref="AC20">(XLOOKUP(Players!$H19, Scoring!$A:$A, Scoring!$B:$B,"",1)) * (XLOOKUP(AC$2, Weightings!$C$2:$C$36, Weightings!$I$2:$I$36,"",1))</f>
        <v>1.75</v>
      </c>
      <c r="AD20" s="6">
        <f t="array" ref="AD20">(XLOOKUP(Players!$I19, Scoring!$A:$A, Scoring!$B:$B,"",1)) * (XLOOKUP(AD$2, Weightings!$C$2:$C$36, Weightings!$I$2:$I$36,"",1))</f>
        <v>1.4</v>
      </c>
      <c r="AE20" s="6">
        <f t="array" ref="AE20">(XLOOKUP(Players!$I19, Scoring!$A:$A, Scoring!$B:$B,"",1)) * (XLOOKUP(AE$2, Weightings!$C$2:$C$36, Weightings!$I$2:$I$36,"",1))</f>
        <v>2.45</v>
      </c>
      <c r="AF20" s="6">
        <f t="array" ref="AF20">(XLOOKUP(Players!$I19, Scoring!$A:$A, Scoring!$B:$B,"",1)) * (XLOOKUP(AF$2, Weightings!$C$2:$C$36, Weightings!$I$2:$I$36,"",1))</f>
        <v>1.05</v>
      </c>
      <c r="AG20" s="6">
        <f t="array" ref="AG20">(XLOOKUP(Players!$I19, Scoring!$A:$A, Scoring!$B:$B,"",1)) * (XLOOKUP(AG$2, Weightings!$C$2:$C$36, Weightings!$I$2:$I$36,"",1))</f>
        <v>1.05</v>
      </c>
      <c r="AH20" s="6">
        <f t="array" ref="AH20">(XLOOKUP(Players!$J19, Scoring!$A:$A, Scoring!$B:$B,"",1)) * (XLOOKUP(AH$2, Weightings!$C$2:$C$36, Weightings!$I$2:$I$36,"",1))</f>
        <v>1.4</v>
      </c>
      <c r="AI20" s="6">
        <f t="array" ref="AI20">(XLOOKUP(Players!$J19, Scoring!$A:$A, Scoring!$B:$B,"",1)) * (XLOOKUP(AI$2, Weightings!$C$2:$C$36, Weightings!$I$2:$I$36,"",1))</f>
        <v>1.4</v>
      </c>
      <c r="AJ20" s="6">
        <f t="array" ref="AJ20">(XLOOKUP(Players!$J19, Scoring!$A:$A, Scoring!$B:$B,"",1)) * (XLOOKUP(AJ$2, Weightings!$C$2:$C$36, Weightings!$I$2:$I$36,"",1))</f>
        <v>0.35</v>
      </c>
      <c r="AK20" s="6">
        <f t="shared" si="1"/>
        <v>35</v>
      </c>
    </row>
    <row r="2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B26" s="6" t="str">
        <f t="array" ref="B26">(XLOOKUP(B3, Scoring!$A:$A, Scoring!$B:$B,"",1))</f>
        <v/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70.13"/>
  </cols>
  <sheetData>
    <row r="1">
      <c r="A1" s="1" t="s">
        <v>37</v>
      </c>
      <c r="B1" s="1" t="s">
        <v>110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4" t="s">
        <v>1</v>
      </c>
      <c r="B2" s="4" t="s">
        <v>74</v>
      </c>
    </row>
    <row r="3">
      <c r="A3" s="4" t="s">
        <v>1</v>
      </c>
      <c r="B3" s="4" t="s">
        <v>75</v>
      </c>
    </row>
    <row r="4">
      <c r="A4" s="4" t="s">
        <v>1</v>
      </c>
      <c r="B4" s="4" t="s">
        <v>76</v>
      </c>
    </row>
    <row r="5">
      <c r="A5" s="4" t="s">
        <v>1</v>
      </c>
      <c r="B5" s="4" t="s">
        <v>77</v>
      </c>
    </row>
    <row r="6">
      <c r="A6" s="4" t="s">
        <v>2</v>
      </c>
      <c r="B6" s="4" t="s">
        <v>78</v>
      </c>
    </row>
    <row r="7">
      <c r="A7" s="4" t="s">
        <v>2</v>
      </c>
      <c r="B7" s="4" t="s">
        <v>79</v>
      </c>
    </row>
    <row r="8">
      <c r="A8" s="4" t="s">
        <v>2</v>
      </c>
      <c r="B8" s="4" t="s">
        <v>80</v>
      </c>
    </row>
    <row r="9">
      <c r="A9" s="4" t="s">
        <v>3</v>
      </c>
      <c r="B9" s="4" t="s">
        <v>81</v>
      </c>
    </row>
    <row r="10">
      <c r="A10" s="4" t="s">
        <v>3</v>
      </c>
      <c r="B10" s="4" t="s">
        <v>82</v>
      </c>
    </row>
    <row r="11">
      <c r="A11" s="4" t="s">
        <v>3</v>
      </c>
      <c r="B11" s="4" t="s">
        <v>83</v>
      </c>
    </row>
    <row r="12">
      <c r="A12" s="4" t="s">
        <v>3</v>
      </c>
      <c r="B12" s="4" t="s">
        <v>84</v>
      </c>
    </row>
    <row r="13">
      <c r="A13" s="4" t="s">
        <v>4</v>
      </c>
      <c r="B13" s="4" t="s">
        <v>85</v>
      </c>
    </row>
    <row r="14">
      <c r="A14" s="4" t="s">
        <v>4</v>
      </c>
      <c r="B14" s="4" t="s">
        <v>86</v>
      </c>
    </row>
    <row r="15">
      <c r="A15" s="4" t="s">
        <v>4</v>
      </c>
      <c r="B15" s="4" t="s">
        <v>87</v>
      </c>
    </row>
    <row r="16">
      <c r="A16" s="4" t="s">
        <v>4</v>
      </c>
      <c r="B16" s="4" t="s">
        <v>88</v>
      </c>
    </row>
    <row r="17">
      <c r="A17" s="4" t="s">
        <v>4</v>
      </c>
      <c r="B17" s="4" t="s">
        <v>89</v>
      </c>
    </row>
    <row r="18">
      <c r="A18" s="4" t="s">
        <v>5</v>
      </c>
      <c r="B18" s="4" t="s">
        <v>90</v>
      </c>
    </row>
    <row r="19">
      <c r="A19" s="4" t="s">
        <v>5</v>
      </c>
      <c r="B19" s="4" t="s">
        <v>91</v>
      </c>
    </row>
    <row r="20">
      <c r="A20" s="4" t="s">
        <v>5</v>
      </c>
      <c r="B20" s="4" t="s">
        <v>92</v>
      </c>
    </row>
    <row r="21">
      <c r="A21" s="4" t="s">
        <v>5</v>
      </c>
      <c r="B21" s="4" t="s">
        <v>93</v>
      </c>
    </row>
    <row r="22">
      <c r="A22" s="4" t="s">
        <v>6</v>
      </c>
      <c r="B22" s="4" t="s">
        <v>94</v>
      </c>
    </row>
    <row r="23">
      <c r="A23" s="4" t="s">
        <v>6</v>
      </c>
      <c r="B23" s="4" t="s">
        <v>95</v>
      </c>
    </row>
    <row r="24">
      <c r="A24" s="4" t="s">
        <v>6</v>
      </c>
      <c r="B24" s="4" t="s">
        <v>96</v>
      </c>
    </row>
    <row r="25">
      <c r="A25" s="4" t="s">
        <v>6</v>
      </c>
      <c r="B25" s="4" t="s">
        <v>97</v>
      </c>
    </row>
    <row r="26">
      <c r="A26" s="4" t="s">
        <v>6</v>
      </c>
      <c r="B26" s="4" t="s">
        <v>98</v>
      </c>
    </row>
    <row r="27">
      <c r="A27" s="4" t="s">
        <v>6</v>
      </c>
      <c r="B27" s="4" t="s">
        <v>99</v>
      </c>
    </row>
    <row r="28">
      <c r="A28" s="4" t="s">
        <v>7</v>
      </c>
      <c r="B28" s="4" t="s">
        <v>100</v>
      </c>
    </row>
    <row r="29">
      <c r="A29" s="4" t="s">
        <v>7</v>
      </c>
      <c r="B29" s="4" t="s">
        <v>101</v>
      </c>
    </row>
    <row r="30">
      <c r="A30" s="4" t="s">
        <v>8</v>
      </c>
      <c r="B30" s="4" t="s">
        <v>102</v>
      </c>
    </row>
    <row r="31">
      <c r="A31" s="4" t="s">
        <v>8</v>
      </c>
      <c r="B31" s="4" t="s">
        <v>103</v>
      </c>
    </row>
    <row r="32">
      <c r="A32" s="4" t="s">
        <v>8</v>
      </c>
      <c r="B32" s="4" t="s">
        <v>104</v>
      </c>
    </row>
    <row r="33">
      <c r="A33" s="4" t="s">
        <v>8</v>
      </c>
      <c r="B33" s="4" t="s">
        <v>105</v>
      </c>
    </row>
    <row r="34">
      <c r="A34" s="4" t="s">
        <v>9</v>
      </c>
      <c r="B34" s="4" t="s">
        <v>106</v>
      </c>
    </row>
    <row r="35">
      <c r="A35" s="4" t="s">
        <v>9</v>
      </c>
      <c r="B35" s="4" t="s">
        <v>107</v>
      </c>
    </row>
    <row r="36">
      <c r="A36" s="4" t="s">
        <v>9</v>
      </c>
      <c r="B36" s="4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111</v>
      </c>
      <c r="B1" s="3" t="s">
        <v>112</v>
      </c>
      <c r="C1" s="3" t="s">
        <v>113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4" t="s">
        <v>18</v>
      </c>
      <c r="B2" s="16">
        <v>18.0</v>
      </c>
      <c r="C2" s="17">
        <v>0.25</v>
      </c>
    </row>
    <row r="3">
      <c r="A3" s="4" t="s">
        <v>17</v>
      </c>
      <c r="B3" s="16">
        <v>35.0</v>
      </c>
      <c r="C3" s="17">
        <v>0.5</v>
      </c>
    </row>
    <row r="4">
      <c r="A4" s="4" t="s">
        <v>15</v>
      </c>
      <c r="B4" s="16">
        <v>52.0</v>
      </c>
      <c r="C4" s="17">
        <v>0.75</v>
      </c>
    </row>
    <row r="5">
      <c r="A5" s="4" t="s">
        <v>14</v>
      </c>
      <c r="B5" s="16">
        <v>70.0</v>
      </c>
      <c r="C5" s="17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2.88"/>
  </cols>
  <sheetData>
    <row r="1">
      <c r="A1" s="1" t="s">
        <v>114</v>
      </c>
      <c r="B1" s="1" t="s">
        <v>37</v>
      </c>
      <c r="C1" s="1" t="s">
        <v>115</v>
      </c>
      <c r="D1" s="3" t="s">
        <v>116</v>
      </c>
      <c r="E1" s="3" t="s">
        <v>117</v>
      </c>
      <c r="F1" s="3" t="s">
        <v>118</v>
      </c>
      <c r="G1" s="3" t="s">
        <v>36</v>
      </c>
      <c r="H1" s="3"/>
      <c r="I1" s="3" t="str">
        <f>CONCAT(Players!$B$21, " factor")</f>
        <v>11s factor</v>
      </c>
      <c r="J1" s="14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4" t="s">
        <v>119</v>
      </c>
      <c r="B2" s="5" t="str">
        <f t="array" ref="B2">XLOOKUP(C2, Attributes!$B$2:$B$36, Attributes!$A$2:$A$36, "", 2)</f>
        <v>Control &amp; Receiving</v>
      </c>
      <c r="C2" s="4" t="s">
        <v>74</v>
      </c>
      <c r="D2" s="16">
        <v>8.0</v>
      </c>
      <c r="E2" s="16">
        <v>6.0</v>
      </c>
      <c r="F2" s="16">
        <v>4.0</v>
      </c>
      <c r="G2" s="16">
        <v>4.0</v>
      </c>
      <c r="H2" s="6"/>
      <c r="I2" s="6">
        <f t="array" ref="I2">XLOOKUP(Players!$B$21, $D$1:$G$1, XLOOKUP(C2, $C$2:$C$36, $D$2:$G$36))/100</f>
        <v>0.04</v>
      </c>
      <c r="J2" s="6"/>
    </row>
    <row r="3">
      <c r="A3" s="4" t="s">
        <v>119</v>
      </c>
      <c r="B3" s="5" t="str">
        <f t="array" ref="B3">XLOOKUP(C3, Attributes!$B$2:$B$36, Attributes!$A$2:$A$36, "", 2)</f>
        <v>Passing &amp; Distribution</v>
      </c>
      <c r="C3" s="4" t="s">
        <v>80</v>
      </c>
      <c r="D3" s="16">
        <v>1.0</v>
      </c>
      <c r="E3" s="16">
        <v>2.0</v>
      </c>
      <c r="F3" s="16">
        <v>3.0</v>
      </c>
      <c r="G3" s="16">
        <v>2.0</v>
      </c>
      <c r="H3" s="6"/>
      <c r="I3" s="6">
        <f t="array" ref="I3">XLOOKUP(Players!$B$21, $D$1:$G$1, XLOOKUP(C3, $C$2:$C$36, $D$2:$G$36))/100</f>
        <v>0.02</v>
      </c>
      <c r="J3" s="6"/>
    </row>
    <row r="4">
      <c r="A4" s="4" t="s">
        <v>119</v>
      </c>
      <c r="B4" s="5" t="str">
        <f t="array" ref="B4">XLOOKUP(C4, Attributes!$B$2:$B$36, Attributes!$A$2:$A$36, "", 2)</f>
        <v>Control &amp; Receiving</v>
      </c>
      <c r="C4" s="4" t="s">
        <v>75</v>
      </c>
      <c r="D4" s="16">
        <v>4.0</v>
      </c>
      <c r="E4" s="16">
        <v>4.0</v>
      </c>
      <c r="F4" s="16">
        <v>3.0</v>
      </c>
      <c r="G4" s="16">
        <v>2.0</v>
      </c>
      <c r="H4" s="6"/>
      <c r="I4" s="6">
        <f t="array" ref="I4">XLOOKUP(Players!$B$21, $D$1:$G$1, XLOOKUP(C4, $C$2:$C$36, $D$2:$G$36))/100</f>
        <v>0.02</v>
      </c>
      <c r="J4" s="6"/>
    </row>
    <row r="5">
      <c r="A5" s="4" t="s">
        <v>119</v>
      </c>
      <c r="B5" s="5" t="str">
        <f t="array" ref="B5">XLOOKUP(C5, Attributes!$B$2:$B$36, Attributes!$A$2:$A$36, "", 2)</f>
        <v>Dribbling &amp; Manipulation</v>
      </c>
      <c r="C5" s="4" t="s">
        <v>81</v>
      </c>
      <c r="D5" s="16">
        <v>8.0</v>
      </c>
      <c r="E5" s="16">
        <v>6.0</v>
      </c>
      <c r="F5" s="16">
        <v>4.0</v>
      </c>
      <c r="G5" s="16">
        <v>2.0</v>
      </c>
      <c r="H5" s="6"/>
      <c r="I5" s="6">
        <f t="array" ref="I5">XLOOKUP(Players!$B$21, $D$1:$G$1, XLOOKUP(C5, $C$2:$C$36, $D$2:$G$36))/100</f>
        <v>0.02</v>
      </c>
      <c r="J5" s="6"/>
    </row>
    <row r="6">
      <c r="A6" s="4" t="s">
        <v>119</v>
      </c>
      <c r="B6" s="5" t="str">
        <f t="array" ref="B6">XLOOKUP(C6, Attributes!$B$2:$B$36, Attributes!$A$2:$A$36, "", 2)</f>
        <v>Striking &amp; Finishing</v>
      </c>
      <c r="C6" s="4" t="s">
        <v>85</v>
      </c>
      <c r="D6" s="16">
        <v>6.0</v>
      </c>
      <c r="E6" s="16">
        <v>5.0</v>
      </c>
      <c r="F6" s="16">
        <v>4.0</v>
      </c>
      <c r="G6" s="16">
        <v>3.0</v>
      </c>
      <c r="H6" s="6"/>
      <c r="I6" s="6">
        <f t="array" ref="I6">XLOOKUP(Players!$B$21, $D$1:$G$1, XLOOKUP(C6, $C$2:$C$36, $D$2:$G$36))/100</f>
        <v>0.03</v>
      </c>
      <c r="J6" s="6"/>
    </row>
    <row r="7">
      <c r="A7" s="4" t="s">
        <v>119</v>
      </c>
      <c r="B7" s="5" t="str">
        <f t="array" ref="B7">XLOOKUP(C7, Attributes!$B$2:$B$36, Attributes!$A$2:$A$36, "", 2)</f>
        <v>Striking &amp; Finishing</v>
      </c>
      <c r="C7" s="4" t="s">
        <v>88</v>
      </c>
      <c r="D7" s="16">
        <v>0.0</v>
      </c>
      <c r="E7" s="16">
        <v>0.0</v>
      </c>
      <c r="F7" s="16">
        <v>0.0</v>
      </c>
      <c r="G7" s="16">
        <v>0.0</v>
      </c>
      <c r="H7" s="6"/>
      <c r="I7" s="6">
        <f t="array" ref="I7">XLOOKUP(Players!$B$21, $D$1:$G$1, XLOOKUP(C7, $C$2:$C$36, $D$2:$G$36))/100</f>
        <v>0</v>
      </c>
      <c r="J7" s="6"/>
    </row>
    <row r="8">
      <c r="A8" s="4" t="s">
        <v>119</v>
      </c>
      <c r="B8" s="5" t="str">
        <f t="array" ref="B8">XLOOKUP(C8, Attributes!$B$2:$B$36, Attributes!$A$2:$A$36, "", 2)</f>
        <v>Physical Literacy</v>
      </c>
      <c r="C8" s="4" t="s">
        <v>105</v>
      </c>
      <c r="D8" s="16">
        <v>0.0</v>
      </c>
      <c r="E8" s="16">
        <v>0.0</v>
      </c>
      <c r="F8" s="16">
        <v>2.0</v>
      </c>
      <c r="G8" s="16">
        <v>3.0</v>
      </c>
      <c r="H8" s="6"/>
      <c r="I8" s="6">
        <f t="array" ref="I8">XLOOKUP(Players!$B$21, $D$1:$G$1, XLOOKUP(C8, $C$2:$C$36, $D$2:$G$36))/100</f>
        <v>0.03</v>
      </c>
      <c r="J8" s="6"/>
    </row>
    <row r="9">
      <c r="A9" s="4" t="s">
        <v>119</v>
      </c>
      <c r="B9" s="5" t="str">
        <f t="array" ref="B9">XLOOKUP(C9, Attributes!$B$2:$B$36, Attributes!$A$2:$A$36, "", 2)</f>
        <v>Passing &amp; Distribution</v>
      </c>
      <c r="C9" s="4" t="s">
        <v>79</v>
      </c>
      <c r="D9" s="16">
        <v>1.0</v>
      </c>
      <c r="E9" s="16">
        <v>3.0</v>
      </c>
      <c r="F9" s="16">
        <v>4.0</v>
      </c>
      <c r="G9" s="16">
        <v>5.0</v>
      </c>
      <c r="H9" s="6"/>
      <c r="I9" s="6">
        <f t="array" ref="I9">XLOOKUP(Players!$B$21, $D$1:$G$1, XLOOKUP(C9, $C$2:$C$36, $D$2:$G$36))/100</f>
        <v>0.05</v>
      </c>
      <c r="J9" s="6"/>
    </row>
    <row r="10">
      <c r="A10" s="4" t="s">
        <v>119</v>
      </c>
      <c r="B10" s="5" t="str">
        <f t="array" ref="B10">XLOOKUP(C10, Attributes!$B$2:$B$36, Attributes!$A$2:$A$36, "", 2)</f>
        <v>Striking &amp; Finishing</v>
      </c>
      <c r="C10" s="4" t="s">
        <v>87</v>
      </c>
      <c r="D10" s="16">
        <v>1.0</v>
      </c>
      <c r="E10" s="16">
        <v>1.0</v>
      </c>
      <c r="F10" s="16">
        <v>0.0</v>
      </c>
      <c r="G10" s="16">
        <v>0.0</v>
      </c>
      <c r="H10" s="6"/>
      <c r="I10" s="6">
        <f t="array" ref="I10">XLOOKUP(Players!$B$21, $D$1:$G$1, XLOOKUP(C10, $C$2:$C$36, $D$2:$G$36))/100</f>
        <v>0</v>
      </c>
      <c r="J10" s="6"/>
    </row>
    <row r="11">
      <c r="A11" s="4" t="s">
        <v>119</v>
      </c>
      <c r="B11" s="5" t="str">
        <f t="array" ref="B11">XLOOKUP(C11, Attributes!$B$2:$B$36, Attributes!$A$2:$A$36, "", 2)</f>
        <v>Striking &amp; Finishing</v>
      </c>
      <c r="C11" s="4" t="s">
        <v>89</v>
      </c>
      <c r="D11" s="16">
        <v>0.0</v>
      </c>
      <c r="E11" s="16">
        <v>0.0</v>
      </c>
      <c r="F11" s="16">
        <v>0.0</v>
      </c>
      <c r="G11" s="16">
        <v>0.0</v>
      </c>
      <c r="H11" s="6"/>
      <c r="I11" s="6">
        <f t="array" ref="I11">XLOOKUP(Players!$B$21, $D$1:$G$1, XLOOKUP(C11, $C$2:$C$36, $D$2:$G$36))/100</f>
        <v>0</v>
      </c>
      <c r="J11" s="6"/>
    </row>
    <row r="12">
      <c r="A12" s="4" t="s">
        <v>119</v>
      </c>
      <c r="B12" s="5" t="str">
        <f t="array" ref="B12">XLOOKUP(C12, Attributes!$B$2:$B$36, Attributes!$A$2:$A$36, "", 2)</f>
        <v>Passing &amp; Distribution</v>
      </c>
      <c r="C12" s="4" t="s">
        <v>78</v>
      </c>
      <c r="D12" s="16">
        <v>7.0</v>
      </c>
      <c r="E12" s="16">
        <v>7.0</v>
      </c>
      <c r="F12" s="16">
        <v>6.0</v>
      </c>
      <c r="G12" s="16">
        <v>5.0</v>
      </c>
      <c r="H12" s="6"/>
      <c r="I12" s="6">
        <f t="array" ref="I12">XLOOKUP(Players!$B$21, $D$1:$G$1, XLOOKUP(C12, $C$2:$C$36, $D$2:$G$36))/100</f>
        <v>0.05</v>
      </c>
      <c r="J12" s="6"/>
    </row>
    <row r="13">
      <c r="A13" s="4" t="s">
        <v>119</v>
      </c>
      <c r="B13" s="5" t="str">
        <f t="array" ref="B13">XLOOKUP(C13, Attributes!$B$2:$B$36, Attributes!$A$2:$A$36, "", 2)</f>
        <v>Striking &amp; Finishing</v>
      </c>
      <c r="C13" s="4" t="s">
        <v>86</v>
      </c>
      <c r="D13" s="16">
        <v>3.0</v>
      </c>
      <c r="E13" s="16">
        <v>2.0</v>
      </c>
      <c r="F13" s="16">
        <v>1.0</v>
      </c>
      <c r="G13" s="16">
        <v>0.0</v>
      </c>
      <c r="H13" s="6"/>
      <c r="I13" s="6">
        <f t="array" ref="I13">XLOOKUP(Players!$B$21, $D$1:$G$1, XLOOKUP(C13, $C$2:$C$36, $D$2:$G$36))/100</f>
        <v>0</v>
      </c>
      <c r="J13" s="6"/>
    </row>
    <row r="14">
      <c r="A14" s="4" t="s">
        <v>119</v>
      </c>
      <c r="B14" s="5" t="str">
        <f t="array" ref="B14">XLOOKUP(C14, Attributes!$B$2:$B$36, Attributes!$A$2:$A$36, "", 2)</f>
        <v>Defending &amp; Tackling</v>
      </c>
      <c r="C14" s="4" t="s">
        <v>91</v>
      </c>
      <c r="D14" s="16">
        <v>1.0</v>
      </c>
      <c r="E14" s="16">
        <v>1.0</v>
      </c>
      <c r="F14" s="16">
        <v>1.0</v>
      </c>
      <c r="G14" s="16">
        <v>1.0</v>
      </c>
      <c r="H14" s="6"/>
      <c r="I14" s="6">
        <f t="array" ref="I14">XLOOKUP(Players!$B$21, $D$1:$G$1, XLOOKUP(C14, $C$2:$C$36, $D$2:$G$36))/100</f>
        <v>0.01</v>
      </c>
      <c r="J14" s="6"/>
    </row>
    <row r="15">
      <c r="A15" s="4" t="s">
        <v>119</v>
      </c>
      <c r="B15" s="5" t="str">
        <f t="array" ref="B15">XLOOKUP(C15, Attributes!$B$2:$B$36, Attributes!$A$2:$A$36, "", 2)</f>
        <v>Defending &amp; Tackling</v>
      </c>
      <c r="C15" s="4" t="s">
        <v>90</v>
      </c>
      <c r="D15" s="16">
        <v>4.0</v>
      </c>
      <c r="E15" s="16">
        <v>3.0</v>
      </c>
      <c r="F15" s="16">
        <v>3.0</v>
      </c>
      <c r="G15" s="16">
        <v>3.0</v>
      </c>
      <c r="H15" s="6"/>
      <c r="I15" s="6">
        <f t="array" ref="I15">XLOOKUP(Players!$B$21, $D$1:$G$1, XLOOKUP(C15, $C$2:$C$36, $D$2:$G$36))/100</f>
        <v>0.03</v>
      </c>
      <c r="J15" s="6"/>
    </row>
    <row r="16">
      <c r="A16" s="4" t="s">
        <v>119</v>
      </c>
      <c r="B16" s="5" t="str">
        <f t="array" ref="B16">XLOOKUP(C16, Attributes!$B$2:$B$36, Attributes!$A$2:$A$36, "", 2)</f>
        <v>Control &amp; Receiving</v>
      </c>
      <c r="C16" s="4" t="s">
        <v>76</v>
      </c>
      <c r="D16" s="16">
        <v>1.0</v>
      </c>
      <c r="E16" s="16">
        <v>0.0</v>
      </c>
      <c r="F16" s="16">
        <v>0.0</v>
      </c>
      <c r="G16" s="16">
        <v>0.0</v>
      </c>
      <c r="H16" s="6"/>
      <c r="I16" s="6">
        <f t="array" ref="I16">XLOOKUP(Players!$B$21, $D$1:$G$1, XLOOKUP(C16, $C$2:$C$36, $D$2:$G$36))/100</f>
        <v>0</v>
      </c>
      <c r="J16" s="6"/>
    </row>
    <row r="17">
      <c r="A17" s="4" t="s">
        <v>120</v>
      </c>
      <c r="B17" s="5" t="str">
        <f t="array" ref="B17">XLOOKUP(C17, Attributes!$B$2:$B$36, Attributes!$A$2:$A$36, "", 2)</f>
        <v>Speed &amp; Acceleration</v>
      </c>
      <c r="C17" s="4" t="s">
        <v>100</v>
      </c>
      <c r="D17" s="16">
        <v>7.0</v>
      </c>
      <c r="E17" s="16">
        <v>5.0</v>
      </c>
      <c r="F17" s="16">
        <v>4.0</v>
      </c>
      <c r="G17" s="16">
        <v>3.0</v>
      </c>
      <c r="H17" s="6"/>
      <c r="I17" s="6">
        <f t="array" ref="I17">XLOOKUP(Players!$B$21, $D$1:$G$1, XLOOKUP(C17, $C$2:$C$36, $D$2:$G$36))/100</f>
        <v>0.03</v>
      </c>
      <c r="J17" s="6"/>
    </row>
    <row r="18">
      <c r="A18" s="4" t="s">
        <v>120</v>
      </c>
      <c r="B18" s="5" t="str">
        <f t="array" ref="B18">XLOOKUP(C18, Attributes!$B$2:$B$36, Attributes!$A$2:$A$36, "", 2)</f>
        <v>Dribbling &amp; Manipulation</v>
      </c>
      <c r="C18" s="4" t="s">
        <v>82</v>
      </c>
      <c r="D18" s="16">
        <v>6.0</v>
      </c>
      <c r="E18" s="16">
        <v>4.0</v>
      </c>
      <c r="F18" s="16">
        <v>3.0</v>
      </c>
      <c r="G18" s="16">
        <v>2.0</v>
      </c>
      <c r="H18" s="6"/>
      <c r="I18" s="6">
        <f t="array" ref="I18">XLOOKUP(Players!$B$21, $D$1:$G$1, XLOOKUP(C18, $C$2:$C$36, $D$2:$G$36))/100</f>
        <v>0.02</v>
      </c>
      <c r="J18" s="6"/>
    </row>
    <row r="19">
      <c r="A19" s="4" t="s">
        <v>120</v>
      </c>
      <c r="B19" s="5" t="str">
        <f t="array" ref="B19">XLOOKUP(C19, Attributes!$B$2:$B$36, Attributes!$A$2:$A$36, "", 2)</f>
        <v>Dribbling &amp; Manipulation</v>
      </c>
      <c r="C19" s="4" t="s">
        <v>83</v>
      </c>
      <c r="D19" s="16">
        <v>5.0</v>
      </c>
      <c r="E19" s="16">
        <v>3.0</v>
      </c>
      <c r="F19" s="16">
        <v>2.0</v>
      </c>
      <c r="G19" s="16">
        <v>1.0</v>
      </c>
      <c r="H19" s="6"/>
      <c r="I19" s="6">
        <f t="array" ref="I19">XLOOKUP(Players!$B$21, $D$1:$G$1, XLOOKUP(C19, $C$2:$C$36, $D$2:$G$36))/100</f>
        <v>0.01</v>
      </c>
      <c r="J19" s="6"/>
    </row>
    <row r="20">
      <c r="A20" s="4" t="s">
        <v>120</v>
      </c>
      <c r="B20" s="5" t="str">
        <f t="array" ref="B20">XLOOKUP(C20, Attributes!$B$2:$B$36, Attributes!$A$2:$A$36, "", 2)</f>
        <v>Physical Literacy</v>
      </c>
      <c r="C20" s="4" t="s">
        <v>104</v>
      </c>
      <c r="D20" s="16">
        <v>0.0</v>
      </c>
      <c r="E20" s="16">
        <v>1.0</v>
      </c>
      <c r="F20" s="16">
        <v>2.0</v>
      </c>
      <c r="G20" s="16">
        <v>3.0</v>
      </c>
      <c r="H20" s="6"/>
      <c r="I20" s="6">
        <f t="array" ref="I20">XLOOKUP(Players!$B$21, $D$1:$G$1, XLOOKUP(C20, $C$2:$C$36, $D$2:$G$36))/100</f>
        <v>0.03</v>
      </c>
      <c r="J20" s="6"/>
    </row>
    <row r="21">
      <c r="A21" s="4" t="s">
        <v>120</v>
      </c>
      <c r="B21" s="5" t="str">
        <f t="array" ref="B21">XLOOKUP(C21, Attributes!$B$2:$B$36, Attributes!$A$2:$A$36, "", 2)</f>
        <v>Dribbling &amp; Manipulation</v>
      </c>
      <c r="C21" s="4" t="s">
        <v>84</v>
      </c>
      <c r="D21" s="16">
        <v>5.0</v>
      </c>
      <c r="E21" s="16">
        <v>4.0</v>
      </c>
      <c r="F21" s="16">
        <v>4.0</v>
      </c>
      <c r="G21" s="16">
        <v>3.0</v>
      </c>
      <c r="H21" s="6"/>
      <c r="I21" s="6">
        <f t="array" ref="I21">XLOOKUP(Players!$B$21, $D$1:$G$1, XLOOKUP(C21, $C$2:$C$36, $D$2:$G$36))/100</f>
        <v>0.03</v>
      </c>
      <c r="J21" s="6"/>
    </row>
    <row r="22">
      <c r="A22" s="4" t="s">
        <v>120</v>
      </c>
      <c r="B22" s="5" t="str">
        <f t="array" ref="B22">XLOOKUP(C22, Attributes!$B$2:$B$36, Attributes!$A$2:$A$36, "", 2)</f>
        <v>Control &amp; Receiving</v>
      </c>
      <c r="C22" s="4" t="s">
        <v>77</v>
      </c>
      <c r="D22" s="16">
        <v>5.0</v>
      </c>
      <c r="E22" s="16">
        <v>3.0</v>
      </c>
      <c r="F22" s="16">
        <v>2.0</v>
      </c>
      <c r="G22" s="16">
        <v>2.0</v>
      </c>
      <c r="H22" s="6"/>
      <c r="I22" s="6">
        <f t="array" ref="I22">XLOOKUP(Players!$B$21, $D$1:$G$1, XLOOKUP(C22, $C$2:$C$36, $D$2:$G$36))/100</f>
        <v>0.02</v>
      </c>
      <c r="J22" s="6"/>
    </row>
    <row r="23">
      <c r="A23" s="4" t="s">
        <v>120</v>
      </c>
      <c r="B23" s="5" t="str">
        <f t="array" ref="B23">XLOOKUP(C23, Attributes!$B$2:$B$36, Attributes!$A$2:$A$36, "", 2)</f>
        <v>Speed &amp; Acceleration</v>
      </c>
      <c r="C23" s="4" t="s">
        <v>101</v>
      </c>
      <c r="D23" s="16">
        <v>3.0</v>
      </c>
      <c r="E23" s="16">
        <v>5.0</v>
      </c>
      <c r="F23" s="16">
        <v>5.0</v>
      </c>
      <c r="G23" s="16">
        <v>5.0</v>
      </c>
      <c r="H23" s="6"/>
      <c r="I23" s="6">
        <f t="array" ref="I23">XLOOKUP(Players!$B$21, $D$1:$G$1, XLOOKUP(C23, $C$2:$C$36, $D$2:$G$36))/100</f>
        <v>0.05</v>
      </c>
      <c r="J23" s="6"/>
    </row>
    <row r="24">
      <c r="A24" s="4" t="s">
        <v>120</v>
      </c>
      <c r="B24" s="5" t="str">
        <f t="array" ref="B24">XLOOKUP(C24, Attributes!$B$2:$B$36, Attributes!$A$2:$A$36, "", 2)</f>
        <v>Physical Literacy</v>
      </c>
      <c r="C24" s="4" t="s">
        <v>103</v>
      </c>
      <c r="D24" s="16">
        <v>2.0</v>
      </c>
      <c r="E24" s="16">
        <v>3.0</v>
      </c>
      <c r="F24" s="16">
        <v>5.0</v>
      </c>
      <c r="G24" s="16">
        <v>7.0</v>
      </c>
      <c r="H24" s="6"/>
      <c r="I24" s="6">
        <f t="array" ref="I24">XLOOKUP(Players!$B$21, $D$1:$G$1, XLOOKUP(C24, $C$2:$C$36, $D$2:$G$36))/100</f>
        <v>0.07</v>
      </c>
      <c r="J24" s="6"/>
    </row>
    <row r="25">
      <c r="A25" s="4" t="s">
        <v>120</v>
      </c>
      <c r="B25" s="5" t="str">
        <f t="array" ref="B25">XLOOKUP(C25, Attributes!$B$2:$B$36, Attributes!$A$2:$A$36, "", 2)</f>
        <v>Physical Literacy</v>
      </c>
      <c r="C25" s="4" t="s">
        <v>102</v>
      </c>
      <c r="D25" s="16">
        <v>2.0</v>
      </c>
      <c r="E25" s="16">
        <v>2.0</v>
      </c>
      <c r="F25" s="16">
        <v>3.0</v>
      </c>
      <c r="G25" s="16">
        <v>4.0</v>
      </c>
      <c r="H25" s="6"/>
      <c r="I25" s="6">
        <f t="array" ref="I25">XLOOKUP(Players!$B$21, $D$1:$G$1, XLOOKUP(C25, $C$2:$C$36, $D$2:$G$36))/100</f>
        <v>0.04</v>
      </c>
      <c r="J25" s="6"/>
    </row>
    <row r="26">
      <c r="A26" s="4" t="s">
        <v>121</v>
      </c>
      <c r="B26" s="5" t="str">
        <f t="array" ref="B26">XLOOKUP(C26, Attributes!$B$2:$B$36, Attributes!$A$2:$A$36, "", 2)</f>
        <v>Defending &amp; Tackling</v>
      </c>
      <c r="C26" s="4" t="s">
        <v>93</v>
      </c>
      <c r="D26" s="16">
        <v>3.0</v>
      </c>
      <c r="E26" s="16">
        <v>2.0</v>
      </c>
      <c r="F26" s="16">
        <v>2.0</v>
      </c>
      <c r="G26" s="16">
        <v>2.0</v>
      </c>
      <c r="H26" s="6"/>
      <c r="I26" s="6">
        <f t="array" ref="I26">XLOOKUP(Players!$B$21, $D$1:$G$1, XLOOKUP(C26, $C$2:$C$36, $D$2:$G$36))/100</f>
        <v>0.02</v>
      </c>
      <c r="J26" s="6"/>
    </row>
    <row r="27">
      <c r="A27" s="4" t="s">
        <v>121</v>
      </c>
      <c r="B27" s="5" t="str">
        <f t="array" ref="B27">XLOOKUP(C27, Attributes!$B$2:$B$36, Attributes!$A$2:$A$36, "", 2)</f>
        <v>Game Intelligence</v>
      </c>
      <c r="C27" s="4" t="s">
        <v>98</v>
      </c>
      <c r="D27" s="16">
        <v>2.0</v>
      </c>
      <c r="E27" s="16">
        <v>3.0</v>
      </c>
      <c r="F27" s="16">
        <v>3.0</v>
      </c>
      <c r="G27" s="16">
        <v>3.0</v>
      </c>
      <c r="H27" s="6"/>
      <c r="I27" s="6">
        <f t="array" ref="I27">XLOOKUP(Players!$B$21, $D$1:$G$1, XLOOKUP(C27, $C$2:$C$36, $D$2:$G$36))/100</f>
        <v>0.03</v>
      </c>
      <c r="J27" s="6"/>
    </row>
    <row r="28">
      <c r="A28" s="4" t="s">
        <v>121</v>
      </c>
      <c r="B28" s="5" t="str">
        <f t="array" ref="B28">XLOOKUP(C28, Attributes!$B$2:$B$36, Attributes!$A$2:$A$36, "", 2)</f>
        <v>Game Intelligence</v>
      </c>
      <c r="C28" s="4" t="s">
        <v>94</v>
      </c>
      <c r="D28" s="16">
        <v>4.0</v>
      </c>
      <c r="E28" s="16">
        <v>4.0</v>
      </c>
      <c r="F28" s="16">
        <v>4.0</v>
      </c>
      <c r="G28" s="16">
        <v>5.0</v>
      </c>
      <c r="H28" s="6"/>
      <c r="I28" s="6">
        <f t="array" ref="I28">XLOOKUP(Players!$B$21, $D$1:$G$1, XLOOKUP(C28, $C$2:$C$36, $D$2:$G$36))/100</f>
        <v>0.05</v>
      </c>
      <c r="J28" s="6"/>
    </row>
    <row r="29">
      <c r="A29" s="4" t="s">
        <v>121</v>
      </c>
      <c r="B29" s="5" t="str">
        <f t="array" ref="B29">XLOOKUP(C29, Attributes!$B$2:$B$36, Attributes!$A$2:$A$36, "", 2)</f>
        <v>Mental &amp; Psycho-Social</v>
      </c>
      <c r="C29" s="4" t="s">
        <v>106</v>
      </c>
      <c r="D29" s="16">
        <v>2.0</v>
      </c>
      <c r="E29" s="16">
        <v>3.0</v>
      </c>
      <c r="F29" s="16">
        <v>3.0</v>
      </c>
      <c r="G29" s="16">
        <v>4.0</v>
      </c>
      <c r="H29" s="6"/>
      <c r="I29" s="6">
        <f t="array" ref="I29">XLOOKUP(Players!$B$21, $D$1:$G$1, XLOOKUP(C29, $C$2:$C$36, $D$2:$G$36))/100</f>
        <v>0.04</v>
      </c>
      <c r="J29" s="6"/>
    </row>
    <row r="30">
      <c r="A30" s="4" t="s">
        <v>121</v>
      </c>
      <c r="B30" s="5" t="str">
        <f t="array" ref="B30">XLOOKUP(C30, Attributes!$B$2:$B$36, Attributes!$A$2:$A$36, "", 2)</f>
        <v>Mental &amp; Psycho-Social</v>
      </c>
      <c r="C30" s="4" t="s">
        <v>107</v>
      </c>
      <c r="D30" s="16">
        <v>2.0</v>
      </c>
      <c r="E30" s="16">
        <v>3.0</v>
      </c>
      <c r="F30" s="16">
        <v>4.0</v>
      </c>
      <c r="G30" s="16">
        <v>4.0</v>
      </c>
      <c r="H30" s="6"/>
      <c r="I30" s="6">
        <f t="array" ref="I30">XLOOKUP(Players!$B$21, $D$1:$G$1, XLOOKUP(C30, $C$2:$C$36, $D$2:$G$36))/100</f>
        <v>0.04</v>
      </c>
      <c r="J30" s="6"/>
    </row>
    <row r="31">
      <c r="A31" s="4" t="s">
        <v>121</v>
      </c>
      <c r="B31" s="5" t="str">
        <f t="array" ref="B31">XLOOKUP(C31, Attributes!$B$2:$B$36, Attributes!$A$2:$A$36, "", 2)</f>
        <v>Game Intelligence</v>
      </c>
      <c r="C31" s="4" t="s">
        <v>99</v>
      </c>
      <c r="D31" s="16">
        <v>2.0</v>
      </c>
      <c r="E31" s="16">
        <v>3.0</v>
      </c>
      <c r="F31" s="16">
        <v>4.0</v>
      </c>
      <c r="G31" s="16">
        <v>5.0</v>
      </c>
      <c r="H31" s="6"/>
      <c r="I31" s="6">
        <f t="array" ref="I31">XLOOKUP(Players!$B$21, $D$1:$G$1, XLOOKUP(C31, $C$2:$C$36, $D$2:$G$36))/100</f>
        <v>0.05</v>
      </c>
      <c r="J31" s="6"/>
    </row>
    <row r="32">
      <c r="A32" s="4" t="s">
        <v>121</v>
      </c>
      <c r="B32" s="5" t="str">
        <f t="array" ref="B32">XLOOKUP(C32, Attributes!$B$2:$B$36, Attributes!$A$2:$A$36, "", 2)</f>
        <v>Game Intelligence</v>
      </c>
      <c r="C32" s="4" t="s">
        <v>97</v>
      </c>
      <c r="D32" s="16">
        <v>1.0</v>
      </c>
      <c r="E32" s="16">
        <v>3.0</v>
      </c>
      <c r="F32" s="16">
        <v>4.0</v>
      </c>
      <c r="G32" s="16">
        <v>4.0</v>
      </c>
      <c r="H32" s="6"/>
      <c r="I32" s="6">
        <f t="array" ref="I32">XLOOKUP(Players!$B$21, $D$1:$G$1, XLOOKUP(C32, $C$2:$C$36, $D$2:$G$36))/100</f>
        <v>0.04</v>
      </c>
      <c r="J32" s="6"/>
    </row>
    <row r="33">
      <c r="A33" s="4" t="s">
        <v>121</v>
      </c>
      <c r="B33" s="5" t="str">
        <f t="array" ref="B33">XLOOKUP(C33, Attributes!$B$2:$B$36, Attributes!$A$2:$A$36, "", 2)</f>
        <v>Defending &amp; Tackling</v>
      </c>
      <c r="C33" s="4" t="s">
        <v>92</v>
      </c>
      <c r="D33" s="16">
        <v>0.0</v>
      </c>
      <c r="E33" s="16">
        <v>2.0</v>
      </c>
      <c r="F33" s="16">
        <v>3.0</v>
      </c>
      <c r="G33" s="16">
        <v>4.0</v>
      </c>
      <c r="H33" s="6"/>
      <c r="I33" s="6">
        <f t="array" ref="I33">XLOOKUP(Players!$B$21, $D$1:$G$1, XLOOKUP(C33, $C$2:$C$36, $D$2:$G$36))/100</f>
        <v>0.04</v>
      </c>
      <c r="J33" s="6"/>
    </row>
    <row r="34">
      <c r="A34" s="4" t="s">
        <v>121</v>
      </c>
      <c r="B34" s="5" t="str">
        <f t="array" ref="B34">XLOOKUP(C34, Attributes!$B$2:$B$36, Attributes!$A$2:$A$36, "", 2)</f>
        <v>Mental &amp; Psycho-Social</v>
      </c>
      <c r="C34" s="4" t="s">
        <v>108</v>
      </c>
      <c r="D34" s="16">
        <v>3.0</v>
      </c>
      <c r="E34" s="16">
        <v>2.0</v>
      </c>
      <c r="F34" s="16">
        <v>1.0</v>
      </c>
      <c r="G34" s="16">
        <v>1.0</v>
      </c>
      <c r="H34" s="6"/>
      <c r="I34" s="6">
        <f t="array" ref="I34">XLOOKUP(Players!$B$21, $D$1:$G$1, XLOOKUP(C34, $C$2:$C$36, $D$2:$G$36))/100</f>
        <v>0.01</v>
      </c>
      <c r="J34" s="6"/>
    </row>
    <row r="35">
      <c r="A35" s="4" t="s">
        <v>121</v>
      </c>
      <c r="B35" s="5" t="str">
        <f t="array" ref="B35">XLOOKUP(C35, Attributes!$B$2:$B$36, Attributes!$A$2:$A$36, "", 2)</f>
        <v>Game Intelligence</v>
      </c>
      <c r="C35" s="4" t="s">
        <v>96</v>
      </c>
      <c r="D35" s="16">
        <v>0.0</v>
      </c>
      <c r="E35" s="16">
        <v>2.0</v>
      </c>
      <c r="F35" s="16">
        <v>4.0</v>
      </c>
      <c r="G35" s="16">
        <v>5.0</v>
      </c>
      <c r="H35" s="6"/>
      <c r="I35" s="6">
        <f t="array" ref="I35">XLOOKUP(Players!$B$21, $D$1:$G$1, XLOOKUP(C35, $C$2:$C$36, $D$2:$G$36))/100</f>
        <v>0.05</v>
      </c>
      <c r="J35" s="6"/>
    </row>
    <row r="36">
      <c r="A36" s="4" t="s">
        <v>121</v>
      </c>
      <c r="B36" s="5" t="str">
        <f t="array" ref="B36">XLOOKUP(C36, Attributes!$B$2:$B$36, Attributes!$A$2:$A$36, "", 2)</f>
        <v>Game Intelligence</v>
      </c>
      <c r="C36" s="4" t="s">
        <v>95</v>
      </c>
      <c r="D36" s="16">
        <v>1.0</v>
      </c>
      <c r="E36" s="16">
        <v>3.0</v>
      </c>
      <c r="F36" s="16">
        <v>3.0</v>
      </c>
      <c r="G36" s="16">
        <v>3.0</v>
      </c>
      <c r="H36" s="6"/>
      <c r="I36" s="6">
        <f t="array" ref="I36">XLOOKUP(Players!$B$21, $D$1:$G$1, XLOOKUP(C36, $C$2:$C$36, $D$2:$G$36))/100</f>
        <v>0.03</v>
      </c>
      <c r="J36" s="6"/>
    </row>
    <row r="37">
      <c r="D37" s="6"/>
      <c r="E37" s="6"/>
      <c r="F37" s="6"/>
      <c r="G37" s="6"/>
      <c r="H37" s="6"/>
      <c r="I37" s="6"/>
      <c r="J37" s="6"/>
    </row>
    <row r="38">
      <c r="C38" s="1" t="s">
        <v>122</v>
      </c>
      <c r="D38" s="6">
        <f t="shared" ref="D38:G38" si="1">SUM(D2:D16)</f>
        <v>45</v>
      </c>
      <c r="E38" s="6">
        <f t="shared" si="1"/>
        <v>40</v>
      </c>
      <c r="F38" s="6">
        <f t="shared" si="1"/>
        <v>35</v>
      </c>
      <c r="G38" s="6">
        <f t="shared" si="1"/>
        <v>30</v>
      </c>
      <c r="H38" s="6"/>
      <c r="I38" s="6"/>
      <c r="J38" s="6"/>
    </row>
    <row r="39">
      <c r="C39" s="1" t="s">
        <v>123</v>
      </c>
      <c r="D39" s="6">
        <f t="shared" ref="D39:G39" si="2">SUM(D17:D25)</f>
        <v>35</v>
      </c>
      <c r="E39" s="6">
        <f t="shared" si="2"/>
        <v>30</v>
      </c>
      <c r="F39" s="6">
        <f t="shared" si="2"/>
        <v>30</v>
      </c>
      <c r="G39" s="6">
        <f t="shared" si="2"/>
        <v>30</v>
      </c>
      <c r="H39" s="6"/>
      <c r="I39" s="6"/>
      <c r="J39" s="6"/>
    </row>
    <row r="40">
      <c r="C40" s="1" t="s">
        <v>124</v>
      </c>
      <c r="D40" s="6">
        <f t="shared" ref="D40:G40" si="3">SUM(D26:D36)</f>
        <v>20</v>
      </c>
      <c r="E40" s="6">
        <f t="shared" si="3"/>
        <v>30</v>
      </c>
      <c r="F40" s="6">
        <f t="shared" si="3"/>
        <v>35</v>
      </c>
      <c r="G40" s="6">
        <f t="shared" si="3"/>
        <v>40</v>
      </c>
      <c r="H40" s="6"/>
      <c r="I40" s="6"/>
      <c r="J40" s="6"/>
    </row>
    <row r="41">
      <c r="C41" s="1" t="s">
        <v>125</v>
      </c>
      <c r="D41" s="6">
        <f t="shared" ref="D41:G41" si="4">SUM(D38:D40)</f>
        <v>100</v>
      </c>
      <c r="E41" s="6">
        <f t="shared" si="4"/>
        <v>100</v>
      </c>
      <c r="F41" s="6">
        <f t="shared" si="4"/>
        <v>100</v>
      </c>
      <c r="G41" s="6">
        <f t="shared" si="4"/>
        <v>100</v>
      </c>
      <c r="H41" s="6"/>
      <c r="I41" s="6"/>
      <c r="J41" s="6"/>
    </row>
  </sheetData>
  <conditionalFormatting sqref="D41:G41">
    <cfRule type="cellIs" dxfId="0" priority="1" operator="equal">
      <formula>100</formula>
    </cfRule>
  </conditionalFormatting>
  <conditionalFormatting sqref="D41:G41">
    <cfRule type="cellIs" dxfId="1" priority="2" operator="notEqual">
      <formula>100</formula>
    </cfRule>
  </conditionalFormatting>
  <drawing r:id="rId1"/>
</worksheet>
</file>